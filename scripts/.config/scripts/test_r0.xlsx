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infowizard/Downloads/test_excel/"/>
    </mc:Choice>
  </mc:AlternateContent>
  <xr:revisionPtr revIDLastSave="0" documentId="13_ncr:1_{44DBF7DD-08C3-8043-8325-E63DE2DBCF7D}" xr6:coauthVersionLast="47" xr6:coauthVersionMax="47" xr10:uidLastSave="{00000000-0000-0000-0000-000000000000}"/>
  <bookViews>
    <workbookView xWindow="0" yWindow="0" windowWidth="51200" windowHeight="28800" activeTab="2" xr2:uid="{B2208C0D-C72F-4F76-A811-65BB959F083B}"/>
  </bookViews>
  <sheets>
    <sheet name="Cover" sheetId="7" r:id="rId1"/>
    <sheet name="Price" sheetId="3" r:id="rId2"/>
    <sheet name="CC" sheetId="2" r:id="rId3"/>
    <sheet name="Load Out" sheetId="4" r:id="rId4"/>
    <sheet name="Organization Chart" sheetId="6" r:id="rId5"/>
    <sheet name="Major Port" sheetId="5" r:id="rId6"/>
    <sheet name="Sheet1"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B3" i="2"/>
  <c r="B2" i="2"/>
  <c r="B3" i="6"/>
  <c r="B2" i="6"/>
  <c r="B1" i="6"/>
  <c r="B3" i="5"/>
  <c r="B2" i="5"/>
  <c r="B1" i="5"/>
  <c r="B3" i="4"/>
  <c r="B2" i="4"/>
  <c r="B1" i="4"/>
  <c r="B3" i="7"/>
  <c r="B2" i="7"/>
  <c r="B1" i="7"/>
</calcChain>
</file>

<file path=xl/sharedStrings.xml><?xml version="1.0" encoding="utf-8"?>
<sst xmlns="http://schemas.openxmlformats.org/spreadsheetml/2006/main" count="418" uniqueCount="364">
  <si>
    <t>Instruction for this file</t>
  </si>
  <si>
    <t>Sheet</t>
  </si>
  <si>
    <t>Instruction</t>
  </si>
  <si>
    <t>Cover</t>
  </si>
  <si>
    <t>Bidder to read and follow the instructions.</t>
  </si>
  <si>
    <t>Price</t>
  </si>
  <si>
    <t>Bidder to fill in the coloumns "SUPPLIER"; F, G, and H.</t>
  </si>
  <si>
    <t>CC</t>
  </si>
  <si>
    <t>Bidder to fill in the complicance or their proposal in column E.</t>
  </si>
  <si>
    <t>Load Out</t>
  </si>
  <si>
    <t>Major Port</t>
  </si>
  <si>
    <t>Applicable majort ports for this project are listed here.</t>
  </si>
  <si>
    <t>Organization Chart</t>
  </si>
  <si>
    <t>Bidder to provide the project specific organization chart.</t>
  </si>
  <si>
    <t>Please submit this file together with your quotation.</t>
  </si>
  <si>
    <t>Buzios 12</t>
  </si>
  <si>
    <t>Supplier name:</t>
  </si>
  <si>
    <t>PRICE TABLE</t>
  </si>
  <si>
    <t>SUPPLIER</t>
  </si>
  <si>
    <t>ITEM NO.</t>
  </si>
  <si>
    <t>TAG NO.</t>
  </si>
  <si>
    <t>SHORT DESCRIPTION</t>
  </si>
  <si>
    <t>LONG DESCRIPTION</t>
  </si>
  <si>
    <t>UNIT</t>
  </si>
  <si>
    <t>Q'TY</t>
  </si>
  <si>
    <t>INCLUDED OR NOT INCLUDED</t>
  </si>
  <si>
    <t>LOOSE SHIPPED ITEM (YES / NO / NA)</t>
  </si>
  <si>
    <t>PRICE [currency]</t>
  </si>
  <si>
    <t>Lot</t>
  </si>
  <si>
    <t>TOTAL</t>
  </si>
  <si>
    <t>OPTIONAL PRICE</t>
  </si>
  <si>
    <t>Extended Warranty</t>
  </si>
  <si>
    <t>Extended Warranty (Additional 12 months)</t>
  </si>
  <si>
    <t>months</t>
  </si>
  <si>
    <t>Commercial Conditions</t>
  </si>
  <si>
    <t>Terms</t>
  </si>
  <si>
    <t>Description</t>
  </si>
  <si>
    <t>Supplier compliance or Proposal</t>
  </si>
  <si>
    <t>Quotation</t>
  </si>
  <si>
    <t>Quotation No. and Rev.No.</t>
  </si>
  <si>
    <t>Quotation date</t>
  </si>
  <si>
    <t xml:space="preserve">Validity </t>
  </si>
  <si>
    <t>Quotation type (Firm or Budgetary)</t>
  </si>
  <si>
    <t>Delivery &amp; Logistic</t>
  </si>
  <si>
    <t>Delivery Lead Time from PO (month)</t>
  </si>
  <si>
    <t>FOB Port / FCA Seller's Facility</t>
  </si>
  <si>
    <t>Country of Origin</t>
  </si>
  <si>
    <t>Delivery Point</t>
  </si>
  <si>
    <t>Shipping Documents (To be submitted in MODEC format only)</t>
  </si>
  <si>
    <t>Export Packing (Heat-treated wooden case with ISPM15 stamp; plywood not acceptable; fumigation with certificate; adequate internal supports)</t>
  </si>
  <si>
    <t>Packaging/storage/preservation per project specification: good for 12 months; cold weather provision below 0°C during construction </t>
  </si>
  <si>
    <t>Load Out Requirements (As per MODEC or appointed Marine Warranty Surveyor). Please refer to Load Out Responsibility Guideline in next tab)</t>
  </si>
  <si>
    <t>Terms &amp; Conditions</t>
  </si>
  <si>
    <t>Liquidated Damages for delayed delivery of Goods: 1% per week; capped at 10% of purchase price</t>
  </si>
  <si>
    <t>Warranty: 24 months from delivery or 12 months from the first oil/start up whichever is longer until 31 October 2032</t>
  </si>
  <si>
    <t>Payment Terms (Net 45 days after receipt of an acceptable invoice and in accordance with the following progress payment schedule</t>
  </si>
  <si>
    <t>Exceptions to T&amp;C</t>
  </si>
  <si>
    <t>Major Subcontractors</t>
  </si>
  <si>
    <t>Project Management Office</t>
  </si>
  <si>
    <t>Engineering Office</t>
  </si>
  <si>
    <t>Fabrication/Manufacturing</t>
  </si>
  <si>
    <t>Integration/Assembly</t>
  </si>
  <si>
    <t>Brazilian Requirement</t>
  </si>
  <si>
    <t>Compliance to NR requirements; dual-language signage (English and Portuguese) per NR10/NR13; manuals dual-language; instruments marked in Portuguese per NR-15 </t>
  </si>
  <si>
    <t>Local Content (Percentage of Brazilian content to be detailed)</t>
  </si>
  <si>
    <t>PreOperation</t>
  </si>
  <si>
    <t>Capital Spare parts: Please quote as per the attached list, if applicable</t>
  </si>
  <si>
    <t>LCC: Please quote as per the attached list, if applicable</t>
  </si>
  <si>
    <t>NA</t>
  </si>
  <si>
    <t>LTSA: Please quote as per the attached list, if applicable</t>
  </si>
  <si>
    <t>Taining: Please quote supplier's standard traing course with a lumpsum price, if applicable</t>
  </si>
  <si>
    <t>Load out Responsibility</t>
  </si>
  <si>
    <t>MODEC scope:</t>
  </si>
  <si>
    <t>Supplier scope:</t>
  </si>
  <si>
    <t>**** Load out Procedure shall include ****</t>
  </si>
  <si>
    <t>FCL</t>
  </si>
  <si>
    <t>From Country</t>
  </si>
  <si>
    <t>Airport</t>
  </si>
  <si>
    <t>Seaport</t>
  </si>
  <si>
    <t>Australia</t>
  </si>
  <si>
    <t>Melbourne</t>
  </si>
  <si>
    <t>Sydney</t>
  </si>
  <si>
    <t>Fremantle</t>
  </si>
  <si>
    <t>Perth</t>
  </si>
  <si>
    <t>Brazil</t>
  </si>
  <si>
    <t>Rio De Janerio ( GIG Airport )</t>
  </si>
  <si>
    <t>Rio De Janerio</t>
  </si>
  <si>
    <t>Santos ( SDU Airport )</t>
  </si>
  <si>
    <t xml:space="preserve"> Santos</t>
  </si>
  <si>
    <t>Sao Paulo ( GRU Airport )</t>
  </si>
  <si>
    <t>Canada</t>
  </si>
  <si>
    <t>Montreal</t>
  </si>
  <si>
    <t>Toronto</t>
  </si>
  <si>
    <t>Vancouver</t>
  </si>
  <si>
    <t>China</t>
  </si>
  <si>
    <t>Shanghai</t>
  </si>
  <si>
    <t>Beijing / Tianjin</t>
  </si>
  <si>
    <t>Xingang</t>
  </si>
  <si>
    <t>Dalian</t>
  </si>
  <si>
    <t>Guangzhou</t>
  </si>
  <si>
    <t>Shekou / Yantian / Chiwan</t>
  </si>
  <si>
    <t>YanTai</t>
  </si>
  <si>
    <t>Croatia</t>
  </si>
  <si>
    <t>Zagreb</t>
  </si>
  <si>
    <t>Rijeka</t>
  </si>
  <si>
    <t>Denmark</t>
  </si>
  <si>
    <t>Copenhagen / Billund</t>
  </si>
  <si>
    <t>Aarhus</t>
  </si>
  <si>
    <t>Copenhagen</t>
  </si>
  <si>
    <t>Finland</t>
  </si>
  <si>
    <t>Helsinki</t>
  </si>
  <si>
    <t xml:space="preserve">Ghana </t>
  </si>
  <si>
    <t>Accra</t>
  </si>
  <si>
    <t xml:space="preserve"> Tema </t>
  </si>
  <si>
    <t>Germany</t>
  </si>
  <si>
    <t>Frankfurt</t>
  </si>
  <si>
    <t>Hamburg</t>
  </si>
  <si>
    <t>Dusseldorf</t>
  </si>
  <si>
    <t>Holland</t>
  </si>
  <si>
    <t>Amsterdam</t>
  </si>
  <si>
    <t>Rotterdam</t>
  </si>
  <si>
    <t>India</t>
  </si>
  <si>
    <t xml:space="preserve">Mumbai </t>
  </si>
  <si>
    <t>Mumbai / 
Nhava Sheva</t>
  </si>
  <si>
    <t>New Delhi</t>
  </si>
  <si>
    <t xml:space="preserve">Chennai </t>
  </si>
  <si>
    <t>Chennai</t>
  </si>
  <si>
    <t>Indonesia</t>
  </si>
  <si>
    <t>Jakarta</t>
  </si>
  <si>
    <t>Italy</t>
  </si>
  <si>
    <t>Milano</t>
  </si>
  <si>
    <t>Genoa / 
Napoli / Livorno / La Sezia</t>
  </si>
  <si>
    <t>Genoa</t>
  </si>
  <si>
    <t>Japan</t>
  </si>
  <si>
    <t>Tokyo ( Narita )</t>
  </si>
  <si>
    <t>Kobe / Yokohama / Nagasaki / Osaka</t>
  </si>
  <si>
    <t>Kobe</t>
  </si>
  <si>
    <t>Osaka ( Kansai / Osaka )</t>
  </si>
  <si>
    <t>Korea</t>
  </si>
  <si>
    <t>Seoul ( Incheon Airport )</t>
  </si>
  <si>
    <t>Pusan</t>
  </si>
  <si>
    <t>Malaysia</t>
  </si>
  <si>
    <t>Kuala Lumpur</t>
  </si>
  <si>
    <t>Port Klang</t>
  </si>
  <si>
    <t>Norway</t>
  </si>
  <si>
    <t>Oslo</t>
  </si>
  <si>
    <t>Bergen</t>
  </si>
  <si>
    <t>Poland</t>
  </si>
  <si>
    <t>Poznan / Warsaw</t>
  </si>
  <si>
    <t>Gdansk</t>
  </si>
  <si>
    <t>Spain</t>
  </si>
  <si>
    <t>Bilbao</t>
  </si>
  <si>
    <t>Barcelona</t>
  </si>
  <si>
    <t>Sweden</t>
  </si>
  <si>
    <t>Arlanda</t>
  </si>
  <si>
    <t>Gothenburg</t>
  </si>
  <si>
    <t>Switzerland</t>
  </si>
  <si>
    <t>Zurich</t>
  </si>
  <si>
    <t>Singapore</t>
  </si>
  <si>
    <t xml:space="preserve">Singapore </t>
  </si>
  <si>
    <t>Thailand</t>
  </si>
  <si>
    <t xml:space="preserve">Bangkok </t>
  </si>
  <si>
    <t>Laem Chabang / 
Bangkok</t>
  </si>
  <si>
    <t>U.A.E.</t>
  </si>
  <si>
    <t>Dubai</t>
  </si>
  <si>
    <t>Jebel Ali</t>
  </si>
  <si>
    <t>United Kingdom</t>
  </si>
  <si>
    <t>London</t>
  </si>
  <si>
    <t>Southampton / Manchester / Felixstowe</t>
  </si>
  <si>
    <t>Manchester</t>
  </si>
  <si>
    <t>Glasgow</t>
  </si>
  <si>
    <t>United States
Of America - 
East Coast</t>
  </si>
  <si>
    <t>Chicago</t>
  </si>
  <si>
    <t>Chicago / Camden /
Philadelphia</t>
  </si>
  <si>
    <t>New York</t>
  </si>
  <si>
    <t>United States
Of America - 
West  Coast</t>
  </si>
  <si>
    <t>Los Angeles</t>
  </si>
  <si>
    <t xml:space="preserve"> Long Beach  / 
  Los Angeles </t>
  </si>
  <si>
    <t>San Francisco</t>
  </si>
  <si>
    <t>United States
Of America - 
Gulf  Coast</t>
  </si>
  <si>
    <t xml:space="preserve">Houston </t>
  </si>
  <si>
    <t xml:space="preserve"> Houston </t>
  </si>
  <si>
    <t>Dallas</t>
  </si>
  <si>
    <t>Please paste project organization chart</t>
  </si>
  <si>
    <t>One set spreader/lift bar with slings and shackles for a single point lift (option)</t>
  </si>
  <si>
    <t>Lifting tools</t>
  </si>
  <si>
    <t>2 Year spares</t>
  </si>
  <si>
    <t>Training</t>
  </si>
  <si>
    <t>Insurance Spares</t>
  </si>
  <si>
    <t>Spare parts - Insurance Spare</t>
  </si>
  <si>
    <t xml:space="preserve">of total PO value upon Buyer's receipt and acceptance of the following : 
1. signed copy of PO acknowledgement
2. MODEC approved Performance Bond equivalent ot 10% of PO Value valid until end of warranty. Issuing Bank to have a credit rating of at least A1 under Moody's. Advicing fee to be borne by the supplier. 
3. Submission of critical documents( 1. SDDR (G03), 2. Fabrication Schedule (G02), 3. Project Quality Plan (Q02), ITP (Q03)
</t>
  </si>
  <si>
    <t xml:space="preserve">of total PO Value upon code 1 approval of all documents specified in SDDR except for C documents. </t>
  </si>
  <si>
    <t>of total PO Value upon readiness to ship with zero punch list , receipt of all shipping documents, approved IRC and delivery of goods in accordance to the PO agreed incoterms. (Pro-rated)</t>
  </si>
  <si>
    <t>of the total PO value upon: 
1. Code 1 approval of final documentation specified in SDDR including as built drawing
2. Mutually signed PO close out form
3. Lesson Learnt report 
4.  Completion of commissioning works both onshore and offshore</t>
  </si>
  <si>
    <t>Design Note</t>
  </si>
  <si>
    <t>Set</t>
  </si>
  <si>
    <t>System Cabinet shall be constructed as follows:</t>
  </si>
  <si>
    <t>Note: Requirement for exhaust fans to be confirm during detail engineering.</t>
  </si>
  <si>
    <t>Cabinet shall compose of below equipment and components:</t>
  </si>
  <si>
    <t>SATELLITE MODEM (Ka-Band) -1 Set</t>
  </si>
  <si>
    <t>SATELLITE MODEM – 1 Set</t>
  </si>
  <si>
    <t>Comtech CDM625A Advanced Satellite Modem c/w:</t>
  </si>
  <si>
    <t>VersaFEC Codec Board</t>
  </si>
  <si>
    <t>18 kbps - 16 Mbps VersaFEC (CCM) Data Rate</t>
  </si>
  <si>
    <t>REDUNDANCY SWITCH – 1 Set</t>
  </si>
  <si>
    <t>M&amp;C Laptop – 1 Set</t>
  </si>
  <si>
    <t>DELL Latitude 3580 Laptop or equivalent</t>
  </si>
  <si>
    <t>Minimum i7 CPU</t>
  </si>
  <si>
    <t>16G Memory</t>
  </si>
  <si>
    <t>1TB SSD</t>
  </si>
  <si>
    <t>Windows 11 PRO</t>
  </si>
  <si>
    <t>Microsoft and Antivirus license</t>
  </si>
  <si>
    <t>c/w rack-mount tray</t>
  </si>
  <si>
    <t>8 Low Profile Sliding Shelf</t>
  </si>
  <si>
    <t>Antenna Control Software – 1 Set</t>
  </si>
  <si>
    <t>Remote management M&amp;C software (compass)</t>
  </si>
  <si>
    <t>Antenna Control Unit – 2 Set</t>
  </si>
  <si>
    <t xml:space="preserve">Antenna Mediator - 2 Set </t>
  </si>
  <si>
    <t>Fiber Patch Panel – 1 Set</t>
  </si>
  <si>
    <t>24 ports c/w patch cables &amp; splicing kit accessories.</t>
  </si>
  <si>
    <t>Fibre Optic Converter – 1 Set</t>
  </si>
  <si>
    <t>Below deck FO converter</t>
  </si>
  <si>
    <t>CAT6A Patch Panel – 2 Set</t>
  </si>
  <si>
    <t>24 ports c/w complete connectors and termination accessories.</t>
  </si>
  <si>
    <t>Ethernet Router – 1 Set</t>
  </si>
  <si>
    <t>Cisco maker, model to align as per Seller specs.</t>
  </si>
  <si>
    <t>Ethernet Switch – 1 Set</t>
  </si>
  <si>
    <t xml:space="preserve">Cisco 24-Port, model to align as per Seller specs. </t>
  </si>
  <si>
    <t>Expansion Ethernet Switch – Cable &amp; Support, EX4300-48T</t>
  </si>
  <si>
    <t>EX4300&amp;3200 2p 10G/4p SFP uplink module, EX-UM-4X4SFP</t>
  </si>
  <si>
    <t>EX4300/3200 320 W AC Power Supply, JPSU-350-AC-AFO</t>
  </si>
  <si>
    <t>1x SFP 1000Base-LX module, SFP-1GE-LX-TX</t>
  </si>
  <si>
    <t>1x SFP 1000Base-SX module, SFP-1GE-SX-TX</t>
  </si>
  <si>
    <t>Secondary Power Supply 1 set</t>
  </si>
  <si>
    <t>Auto Transfer Switch – 1 Set</t>
  </si>
  <si>
    <t>Power Cord Universal plug - 1 Set</t>
  </si>
  <si>
    <t>Powerstrip-8 port power (PDU) with individual ON/OFF switch</t>
  </si>
  <si>
    <t>Digital Spectrum Analyser – 1 Set</t>
  </si>
  <si>
    <t>Maker: Anritsu S362E Site Master, or higher equivalent</t>
  </si>
  <si>
    <t>With cable loss &amp; antenna analyzer</t>
  </si>
  <si>
    <t>Anritsu 760-243-R Transit Case for storage</t>
  </si>
  <si>
    <t>VSAT SYSTEM CABINET #1</t>
  </si>
  <si>
    <t>(For installation at Telecom Equipment Room-1)</t>
  </si>
  <si>
    <t>Iridium Below Deck Unit – 1 Set</t>
  </si>
  <si>
    <t>Cabinet brand: Rittal TS-8/ DK model, Color RAL7035</t>
  </si>
  <si>
    <t xml:space="preserve">D/1000 x W/800 x H/2100 (including 100mm plinth) </t>
  </si>
  <si>
    <t>Cabinet shall be complete with interfaces c/w power management MCBs (ABB), surge protectors and power circuit breakers.</t>
  </si>
  <si>
    <t>All internal cabling and trunking to be made of flame-retardant type material. Cable trunks and internal cables type/coding shall follow Seller specification.</t>
  </si>
  <si>
    <t>Front – Double door, plexi-glass center and honeycomb on each side for cool air inlet, protected against damages and scratches during transport and shipyard commissioning. With door stopper and Rittal comfort handles with lock and press insert.</t>
  </si>
  <si>
    <t>Back – Double door shall be honeycomb, with three x 250mm exhaust fans with filter size at top, middle and bottom on each door.</t>
  </si>
  <si>
    <t>With door stopper and Rittal comfort handles with lock and press insert.</t>
  </si>
  <si>
    <t>Cabinet with top and bottom cable entry.</t>
  </si>
  <si>
    <t>Top entry gland plate (600mm x 400mm) with 6 butterfly bolts. Screws and bolts not accepted. With additional brush strip plate on top entry for dust proofing purposes.</t>
  </si>
  <si>
    <t xml:space="preserve">Sides shall be metal, with three x 250mm louvers on each side, equally spaced from top to bottom. </t>
  </si>
  <si>
    <t>Three thermostats shall be installed to trigger the fans ON (top and bottom) at operating temperature of 35 degrees and to trigger the fans at middle and contact at high temperature inside the cabinet, 45 degrees for the TMS.</t>
  </si>
  <si>
    <t>SIL2 relays (as per Seller recommended maker and model) for alarm (system and power failed) and TMS interfacing.</t>
  </si>
  <si>
    <t>Internal cabinet lighting front and back with door switch.</t>
  </si>
  <si>
    <t>Standard Rittal Rack Mounting Bolts and Cage nuts M5 (100/pcs).</t>
  </si>
  <si>
    <t>Special allen key spanners – for cabinet external bolts/screws – 4/sets.</t>
  </si>
  <si>
    <t>Coaxial lightning arrestors suitable for the RF power and bandwidth used. Lightning arrestors are to be installed on the copper grounding bar for direct RF cable termination.</t>
  </si>
  <si>
    <t>Power outlet inside the cabinet must be universal plug type with individual ON/OFF switch.</t>
  </si>
  <si>
    <t>Earth bars shall be installed with terminals and labelled; intrinsic (I.S.) if applicable, instrument (I.E.), and protective (P.E.) earth. Cabinets shall be installed with Electrostatic Discharge (E.S.D.) bonding point if applicable.</t>
  </si>
  <si>
    <t>Vented equipment trays are to be installed in the cabinet for non 19” rack mount type equipment. Number of trays to be finalized by Seller during detailed engineering</t>
  </si>
  <si>
    <t>AC Contactor provisioned for equipment with single power input</t>
  </si>
  <si>
    <t>1 x ComTech (ViaSat), MEO link high speed Modem, up to 60-100 Mbps for Ka-Band</t>
  </si>
  <si>
    <t>18 kbps - 10 Mbps Modem Data Rate (default license)</t>
  </si>
  <si>
    <t>EIA-422/EIA-530, V.35, G.703 T1/E1, ASI, HSSI</t>
  </si>
  <si>
    <t>4-port Ethernet Switch</t>
  </si>
  <si>
    <t>IP Sub Multiplexer</t>
  </si>
  <si>
    <t>Adaptive Equalizer</t>
  </si>
  <si>
    <t>High Stability Reference</t>
  </si>
  <si>
    <t>SNMP and Distant End SNMP Proxy http + telnet M and C</t>
  </si>
  <si>
    <t>TX / RX: 70/140 MHz IF and L-Band IF Frequency</t>
  </si>
  <si>
    <t>BPSK - QPSK - OQPSK and 8-QAM Modulation Type</t>
  </si>
  <si>
    <t>18 kbps - 10 Mbps Modem Data Rate</t>
  </si>
  <si>
    <t>TPC / LDPC Codec Board</t>
  </si>
  <si>
    <t>18 kbps - 10 Mbps TPC / LDPC Data Rate</t>
  </si>
  <si>
    <t>Including Power Supply</t>
  </si>
  <si>
    <t>Accessories for Iridium 19" Rack</t>
  </si>
  <si>
    <t>UNIT PRICE [currency)</t>
  </si>
  <si>
    <t>TOTAL PRICE [currency]</t>
  </si>
  <si>
    <t>Project management &amp; execution</t>
  </si>
  <si>
    <t>Design testing &amp; engineering</t>
  </si>
  <si>
    <t>Warranty</t>
  </si>
  <si>
    <t>Lump sum service &amp; commissioning</t>
  </si>
  <si>
    <t>Training services</t>
  </si>
  <si>
    <t>Design, manufacture, shop test, pack and supply, of the POB and E-Mustering System with minimum, Service and Support, lifespan of 30 years.
Items listed below are basic technical requirements. Model &amp; Type numbers indicated are for guidance only.
Supplier shall propose, advise, recommend, any additional requirement for the complete system, even if not included in this scope of work, and as considered necessary for efficient system operation.
All main equipment shall have dual input power source, if applicable, to maintain the power redundancy and not necessarily to connect via contactor or ATS which may be the source of single point of failure.</t>
  </si>
  <si>
    <t>System Cabinets</t>
  </si>
  <si>
    <t>Muster station view panel (Safe Area)</t>
  </si>
  <si>
    <t>Confirmed muster station (Zone 1)</t>
  </si>
  <si>
    <t>Muster View Monitor</t>
  </si>
  <si>
    <t>BLE Beacons (Zone-1)</t>
  </si>
  <si>
    <t>BLE Beacons (Safe Area)</t>
  </si>
  <si>
    <t>BLE Gateway / receiver (Edge device)</t>
  </si>
  <si>
    <t xml:space="preserve">Supplier to supply all additional licenses needed in the Buyer WLAN devices for interfacing with POB and E-Mustering system.  </t>
  </si>
  <si>
    <t xml:space="preserve">BLE Tag allocation and admin / HMI Station
</t>
  </si>
  <si>
    <t>•	Client HMI workstation with desktop BLE Tag activator and small label printer
•	IPS/LED monitor, minimum 24”
•	Keyboard and mouse
•	Including bracket for monitor (exact bracket type to be clarified during KOM)
•	Desktop tag activator shall be capable to check battery status of the BLE tags
•	Windows and POB and E-Mustering software licenses included.
•	To install below locations;
-	SELLER Office x 1 set
-	CCR x 1 set
-	Helideck Reception Desk x 1 set</t>
  </si>
  <si>
    <t xml:space="preserve">BLE Tags
</t>
  </si>
  <si>
    <t>BLE TAGs - 500 Set – Tag Shape
Note: Accessories to be included in price.
•	Bluetooth standard to allow communication between the BLE TAG (portable) and the BLE beacons (fixed) shall be 5.1 or higher.
•	Operating temperature range from -20° to +60° 
•	IP66 rated housing
•	IECEx zone 1 certified or suitable for surrounding environment.</t>
  </si>
  <si>
    <t>Tag Printer</t>
  </si>
  <si>
    <t>Printer for the tag label with necessary accessories</t>
  </si>
  <si>
    <t>Portable Tablet PC</t>
  </si>
  <si>
    <t>Interface Panel</t>
  </si>
  <si>
    <t>Tagging Traffolyte</t>
  </si>
  <si>
    <t>Tagging Stainless Steel</t>
  </si>
  <si>
    <t>Outdoor (Field Equipment)
•	Language : English and Portuguese
•	Warning &amp; caution sign to be included</t>
  </si>
  <si>
    <t>Installation, operation, maintenance manuals</t>
  </si>
  <si>
    <t>Original (hard copy) + 2 Copies (CD)
Language : English and Portuguese</t>
  </si>
  <si>
    <t xml:space="preserve">Softwares and documents disc copy </t>
  </si>
  <si>
    <t>Original (hard copy) + 2 Copies (CD)</t>
  </si>
  <si>
    <t>Start-up &amp; commissioning spares</t>
  </si>
  <si>
    <t>All necessary start-up spares will be hand carried by commissioning engineer.
Supplier shall provide detailed list of all – mechanical completion equipment, and shall include as a minimum;
TAG PRINTER
-	Spare cartridge – 5 set
BLE TAGS
-	Spare BLE Tags – 20 set</t>
  </si>
  <si>
    <t>Supplier shall provide detailed list of all – operational spare equipment, and shall include as a minimum;
Power supplies x 1 each 
POE switches, fiber switches, network switches x 1 set each
BLE Beacons (Ex Zone 1) x 2 
BLE Beacons (Safe Area) x 2</t>
  </si>
  <si>
    <t>Shall include;
•	Specific Project Documentation
•	SDRL and Design Engineering
•	Supplier data as per SELLER-SDRL, refer to document 4103-MI20-55S1-6360-002 Specific Project Documentation
•	Local Authority approval
•	Classification Society approval, as applicable  
•	Supplier shall provide detailed study and recommendation of the field devices location (Coverage study)</t>
  </si>
  <si>
    <t>Performance guarantee &amp; local content</t>
  </si>
  <si>
    <t>•	Guarantee, shall be provided by way of type approval certificates from equipment manufacturers, certified by international compliance authorities.
•	Training in Equipment operation and basic fault finding, shall be provided by Supplier, and documented in English.
•	Mandatory compliance certificate shall be submitted for SELLER’s review, as applicable.</t>
  </si>
  <si>
    <t>Certification</t>
  </si>
  <si>
    <t>•	Classification certificate, Type Approved Certificate, Local certification, and Design certification shall be included, as applicable.</t>
  </si>
  <si>
    <t>Packing, delivery &amp; preservation</t>
  </si>
  <si>
    <t>•	Supplier shall ensure packing as per distribution list (excel-spreadsheet) provided by SELLER for various fabrication yards and modules.
•	Equipment shall be duly marked with the type of equipment inside the packing including the material codes.
•	Start-up &amp; Commissioning Spares and 2-Year Spares shall be packed separately and clearly marked.
•	Supplier shall re-confirm actual quantities with SELLER, prior to equipment shipment
•	Delivery of all equipment shall be – 22 Weeks
•	All delivery shall be ex-works Singapore or agreed to upon country of delivery. SELLER’s freight forwarder will arrange for onward delivery to the builder yard and/or operation site
•	Supplier shall provide adequate preservation of equipment from moisture ingress, weather, heavy impact damage and in-transit handling vibration
•	Equipment Preservation, Shipping and Storage shall be per document 2500-M380-00S1-0210-001.
•	All equipment shall be export packaged in hard wood cartons, with relevant fumigation certificates
•	Supplier shall liaise with SELLER’s freight forwarder prior to actual shipment, for fumigation dates, etc.
•	Delivery documentation to include, itemized list per box with individual pricing and any other details as required by SELLER’s freight forwarder.
•	Supplier shall liaise with SELLER – Procurement for the details of Shipping.
•	Supplier shall supply necessary packing for the storage and protection of equipment for an extended duration, after commissioning in Construction yard. Recommended procedures must be provided for guidance of the shipyard for equipment to be repacked into boxes after testing and prior to sail away.</t>
  </si>
  <si>
    <t>Refer SELLER P/O for T&amp;C’s &amp; Addendum for details. Minimum warranty shall also include;
•	Cost of replacement spares
•	Cost of engineer labor, conveyance, airfare, accommodation and sustenance.
•	Cost of Visa applications and any other mandatory certification required by the authorities.</t>
  </si>
  <si>
    <t>•	Commissioning of the POB and E-Mustering System, onshore/offshore, shall include as a lump sum;
•	20 days in Construction or conversion yard (including anchorage/ sea trial) for two Engineers in two visits, for termination within system cabinet and power-up testing at Construction yard onshore/offshore
•	Any commissioning days, leftover from Construction yard are to be carried forward to commissioning man days in Integration and at Site. 
•	Commissioning spares, i.e. lugs, tagging, cable ties, termination sundries, etc. shall be provided by Supplier, as required by attending FSR. 
•	Training, Operation &amp; Basic Maintenance
•	Additional Man days cost shall apply only after stipulated man days have been concluded, and only if the delay is being caused by SELLER. Any Supplier related delays shall not be considered in the final man-days summary.
•	Normal day work hours onshore– 10 hours (excluding travel &amp; meal breaks)
•	Normal day work hours offshore– 12 hours (excluding meal breaks)
•	Saturday’s &amp; Sunday’s onshore, when required during critical commissioning phase shall be as per normal working days.
•	Offshore, in all countries are normal working days, with no public holidays.
•	Lump sum cost shall include – air fare, conveyance, accommodation, and engineer subsistence, in Conversion yard and at site.
•	Travel arrangements, visa formalities, conveyance to and from the airport to the hotel, including hotel charges shall be at Supplier’s expense. Any extension of visa shall be at Supplier’s cost. Any advance hotel payment will be done by Supplier.
•	Commissioning engineers shall be equipped with necessary sea survival certificates issued by marine and aviation authorities, acceptable by local authority as per FPSO location.</t>
  </si>
  <si>
    <t>Notes / Remarks</t>
  </si>
  <si>
    <t>General Notes:
•	Supplier shall follow, exact format in this section, while submitting a quotation. Any other format is not recommended.
•	Delivery documentation to include, itemized list per box with individual pricing and any other details as required by SELLER’s freight forwarder. Supplier shall liaise with SELLER – Procurement for all details of Shipping
•	Supplier shall provide, detailed listing, with individual pricing, of each spare part, for commissioning and Two-Year Spares
•	PO shall be issued subject to and including all TQs discussed prior to PO award. This RFQ shall be an integral part of the PO
•	Supplier shall include extended storage of the equipment on their workshop in case delivery on site required to hold as per SELLER instruction.
•	Relevant equipment shall be type approved, and necessary documentation shall be submitted by Supplier during quotation phase
•	Supplier shall refer SELLER block and layout, diagrams, and ensure, supply of all equipment, as required, for proper system operation. Any oversight or changes of items at a later stage in the project will be Supplier’s responsibility to provide with no commercial impact to SELLER.
•	Supplier shall assist, the shipyard, where necessary, in the termination of internal cabinet cabling, and ensure proper field equipment termination, by physical inspections, prior to power-up and commissioning
•	All original software discs, instruction and operation manuals will be packed separately and mailed separately
•	All equipment and packaging shall be inspected by SELLER prior to fumigation and final boxing up. Supplier shall provide, detailed photographs of boxes being shipped, during load-in to containers, or pallets.</t>
  </si>
  <si>
    <t>55-6360</t>
  </si>
  <si>
    <t>POB &amp; E-Mustering System</t>
  </si>
  <si>
    <r>
      <rPr>
        <b/>
        <sz val="11"/>
        <color theme="1"/>
        <rFont val="Arial"/>
        <family val="2"/>
      </rPr>
      <t>POB &amp; E-MUSTERING SYSTEM CABINET-A</t>
    </r>
    <r>
      <rPr>
        <sz val="11"/>
        <color theme="1"/>
        <rFont val="Arial"/>
        <family val="2"/>
      </rPr>
      <t xml:space="preserve">
(For installation at Telecom Equipment Room-1)
System Cabinet shall be constructed as follows:
•	Cabinet brand: Rittal TS-8/ DK model, ColorRAL7035
•	1000(D) x 800(W) x 2100(H) (including 100mm plinth) 
•	Cabinet shall be complete with interfaces c/w power management MCBs (ABB), surge protectors and power circuit breakers.
•	All internal cabling and trunking to be made of flame-retardant type material. Cable trunks and internal cables type/coding shall follow SELLER specification.
•	Front – Double door, plexi-glass center, protected against damages and scratches during transport and shipyard commissioning. With door stopper and Rittal comfort handles with lock and press insert.
•	Back – Double door solid metal plate with three x 250mm exhaust fan size at top, middle, and bottom on each door. With door stopper and Rittal comfort handles with lock and press insert.
•	Top and bottom entry gland plate (600mm x 300mm) with 6 butterfly bolts. Screws and bolts not accepted. With additional brush strip plate on top entry for dust proofing purposes.
•	baying kits and accessories
•	Sides shall be metal, with three x 250mm louver size on each side, equally spaced from top to bottom. Auto-start/stop temperature, of fans shall be staggered at 25-35-45 degrees, in a top/bottom sequence.
•	Two thermostats shall be installed to trigger the fans ON (operating temperature) and to trigger the contact (high temperature inside the cabinet) for the Telecom Monitoring System (TMS).
•	SIL2 relays (as per SELLER recommended maker and model) for alarm (system and power failed) and TMS interfacing.
•	Internal cabinet lighting front and back with door switch
•	Standard Rittal Rack Mounting Bolts and Cage nuts (100/pcs)
•	Special allen key spanners – for cabinet external bolts/screws – 4/sets
•	Power outlet inside the cabinet must be Universal plug type.
•	Three earth bars shall be installed with terminals and labelled; intrinsic (I.S.), instrument (I.E.), and protective (P.E.) earth. Cabinets shall be installed with Electrostatic Discharge (E.S.D.) bonding point.
Cabinet shall compose of below equipment and components:
•	MCB, circuit breaker panel (Based on power input and output rating requirement) 
•	19" LED DISPLAY MONITOR 
-	Shall include rack mounted frame and kit
-	Rack mounted keyboard with integrated Touch pad or track ball.
-	Integrated Server for POB and E-Mustering system with POB &amp; E-Mustering Cabinet-2
-	HPE ProLiant DL380 Pro or equivalent
-	1 CPU socket with minimum 12 CORES, 32G MEM
-	Includes hot standby mechanism for automatic failover to POB &amp; E-Mustering Cabinet-2
-	Dual Power modules and cables per server
-	RAID 10 + Hot spare disk redundancy with dedicated RAID controller
-	Shall process EMI compliance with valid certificate
-	Includes chassis / mounting bracket
-	Operating system and license
-	POB and E-Mustering System software and license for real time Automated Personnel Monitoring with Automated Mustering Solution
-	Necessary KVM switches for common monitors in the control room and offices.
Note: Supplier shall include necessary server software for hot standby server.
•	CISCO ETHERNET SWITCH 
-	Gigabit SFPs 
-	Software and license
-	24 ports POE switch
-	12 ports fiber/SFP switch
•	PATCH PANELS 
-	24ports for field device and 3rd party connection
-	Fiber Optic Patch Panel (Minimum 24 Duplex SC ports)
-	24ports RJ45 Patch Panel (STP/CAT6A)
-	Includes SFP connectors
-	2 (two) FTB cables from one POB cabinet to other ended on patch panels
•	CABLE MANAGEMENT
-	1U cable management duct for front access
•	INTERFACE MODULE
-	PAGA Muster Start
-	ICSS (MODBUS/TCP IP)
-	Time Synchronization (NTP)
-	Telecommunication Monitoring System (TMS) via dry contact
-	I/O unit, Relay module, Exi barriers, NPort, etc. to achieve following interfaces.
-	Cable termination areas for IS field cables from EX BLE Reader
-	Interface with IT-LAN System/ Wi-Fi System / Client remote view capability 
-	02 (two) FTB cables from each POB cabinet to LAN cabinet at the same deck
-	Available spare I/O ports for additional input or output project requirement to be clarified during KOM or future spares.
•	RS485 TO ETHERNET INTERFACE 
•	2 x 16 Channel interface rack unit, MOXA N-port</t>
    </r>
  </si>
  <si>
    <r>
      <rPr>
        <b/>
        <sz val="11"/>
        <color theme="1"/>
        <rFont val="Arial"/>
        <family val="2"/>
      </rPr>
      <t>POB &amp; E-MUSTERING SYSTEM CABINET-2</t>
    </r>
    <r>
      <rPr>
        <sz val="11"/>
        <color theme="1"/>
        <rFont val="Arial"/>
        <family val="2"/>
      </rPr>
      <t xml:space="preserve">
(For installation at Central/Electrical Equipment Room)
System Cabinet shall be constructed as follows:
•	Cabinet brand: Rittal TS-8/ DK model, ColorRAL7035
•	1000(D) x 800(W) x 2100(H) (including 100mm plinth) 
•	Cabinet shall be complete with interfaces c/w power management MCBs (ABB), surge protectors and power circuit breakers.
•	All internal cabling and trunking to be made of flame-retardant type material. Cable trunks and internal cables type/coding shall follow SELLER specification.
•	Front – Double door, plexi-glass center, protected against damages and scratches during transport and shipyard commissioning. With door stopper and Rittal comfort handles with lock and press insert.
•	Back – Double door solid metal plate with three x 250mm exhaust fan size at top, middle, and bottom on each door. With door stopper and Rittal comfort handles with lock and press insert.
•	Top and bottom entry gland plate (600mm x 300mm) with 6 butterfly bolts. Screws and bolts not accepted. With additional brush strip plate on top entry for dust proofing purposes.
•	baying kits and accessories
•	Sides shall be metal, with three x 250mm louver size on each side, equally spaced from top to bottom. Auto-start/stop temperature, of fans shall be staggered at 25-35-45 degrees, in a top/bottom sequence.
•	Two thermostats shall be installed to trigger the fans ON (operating temperature) and to trigger the contact (high temperature inside the cabinet) for the Telecom Monitoring System (TMS).
•	SIL2 relays (as per SELLER recommended maker and model) for alarm (system and power failed) and TMS interfacing.
•	Internal cabinet lighting front and back with door switch
•	Standard Rittal Rack Mounting Bolts and Cage nuts (100/pcs)
•	Special allen key spanners – for cabinet external bolts/screws – 4/sets
•	Power outlet inside the cabinet must be Universal plug type.
•	Three earth bars shall be installed with terminals and labelled; intrinsic (I.S.), instrument (I.E.), and protective (P.E.) earth. Cabinets shall be installed with Electrostatic Discharge (E.S.D.) bonding point.
Cabinet shall compose of below equipment and components:
•	MCB, circuit breaker panel (Based on power input and output rating requirement) 
•	19" LED DISPLAY MONITOR 
-	Shall include rack mounted frame and kit
-	Rack mounted keyboard with integrated Touch pad or track ball.
-	Integrated Server for POB and E-Mustering system with POB &amp; E-Mustering Cabinet-1
-	HPE ProLiant DL380 Pro or equivalent
-	1 CPU socket with minimum 12 CORES, 32G MEM
-	Includes hot standby mechanism for automatic failover to POB &amp; E-Mustering Cabinet-1
-	Dual Power modules and cables per server
-	RAID 10 + Hot spare disk redundancy with dedicated RAID controller
-	Shall process EMI compliance with valid certificate
-	Includes chassis / mounting bracket
-	Operating system and license
-	POB and E-Mustering System software and license for real time Automated Personnel Monitoring with Automated Mustering Solution
-	Necessary KVM switches for common monitors in the control room and offices.
Note: Supplier shall include necessary server software for hot standby server.
•	CISCO ETHERNET SWITCH 
-	Gigabit SFPs 
-	Software and license
-	2 (two) 24 ports POE switch
-	2 (two) 12 ports fiber/SFP switch
•	PATCH PANELS 
-	24ports for field device and 3rd party connection
-	Fiber Optic Patch Panel (Minimum 24 Duplex SC ports)
-	24ports RJ45 Patch Panel (STP/CAT6A)
-	Includes SFP connectors
-	2 (two) FTB cables from one POB cabinet to other ended on patch panels
•	CABLE MANAGEMENT
-	1U cable management duct for front access
•	INTERFACE MODULE
-	PAGA Muster Start
-	ICSS (MODBUS/TCP IP)
-	Time Synchronization (NTP)
-	Telecommunication Monitoring System (TMS) via dry contact
-	I/O unit, Relay module, Exi barriers, NPort, etc. to achieve following interfaces.
-	Cable termination areas for IS field cables from EX BLE Reader
-	Interface with IT-LAN System/ Wi-Fi System / Client remote view capability 
-	02 (two) FTB cables from each POB cabinet to LAN cabinet at the same deck
-	Available spare I/O ports for additional input or output project requirement to be clarified during KOM or future spares.
•	RS485 TO ETHERNET INTERFACE 
•	2 x 16 Channel interface rack unit, MOXA N-port</t>
    </r>
  </si>
  <si>
    <r>
      <rPr>
        <b/>
        <sz val="11"/>
        <color theme="1"/>
        <rFont val="Arial"/>
        <family val="2"/>
      </rPr>
      <t>Confirmed Muster Station</t>
    </r>
    <r>
      <rPr>
        <sz val="11"/>
        <color theme="1"/>
        <rFont val="Arial"/>
        <family val="2"/>
      </rPr>
      <t xml:space="preserve">
•	Ex Confirmed Muster Stations are enclosed in an IP66 certified Ex d stainless steel housing.
•	The Terminal has a reinforced glass viewing screen behind which a display is mounted.
•	The ‘Confirmed’ Muster Station design is based upon a Thin Client running the ‘Confirmed’ Muster Station Application on the system servers.
•	The Application is a Single-View Display which shows a complete list of the current POB (Left-Hand Pane) with the Muster-Arrived personnel list in the Right- Hand pane which, in normal circumstances, will be empty.
•	During a Muster, personnel can either present their Card Transponder to the Ex Short Range Antenna or select their name from the POB list using the Up, Down, Left, Right cursor keys mounted below the display. In either case the system will not accept the name entry until it is verified by pressing the ‘Select’ button. 
•	To install at below locations;
-	AFT Lifeboat (PORT and STBD) Station x 2 set 
-	FWD TR x 1 set</t>
    </r>
  </si>
  <si>
    <r>
      <rPr>
        <b/>
        <sz val="11"/>
        <color theme="1"/>
        <rFont val="Arial"/>
        <family val="2"/>
      </rPr>
      <t>Muster Station View Panel</t>
    </r>
    <r>
      <rPr>
        <sz val="11"/>
        <color theme="1"/>
        <rFont val="Arial"/>
        <family val="2"/>
      </rPr>
      <t xml:space="preserve">
•	LED monitor, minimum 43”
•	Touchscreen
•	Embedded PC with Windows inside the Monitor
•	Includes wall mounted brackets
•	Supplier shall include small intermediate GRP junction box (PJB) for the Muster Station View Panel cable. Size shall be considered by Supplier. Terminals inside to be included.
•	Software to see assigned personnel for the muster point, who is missing here and in total. Functionality to manually muster a person that have lost his BLE tag.
•	To install at Primary Muster Room (Mess Room)</t>
    </r>
  </si>
  <si>
    <r>
      <rPr>
        <b/>
        <sz val="11"/>
        <color theme="1"/>
        <rFont val="Arial"/>
        <family val="2"/>
      </rPr>
      <t xml:space="preserve">Muster View Monitors  </t>
    </r>
    <r>
      <rPr>
        <sz val="11"/>
        <color theme="1"/>
        <rFont val="Arial"/>
        <family val="2"/>
      </rPr>
      <t xml:space="preserve"> 
•	43inch Monitor with wall mount bracket
•	Small form thin client workstation, Keyboard and mouse
•	15meters HDMI cable
•	The application shall show the total POB count and each tracking zone area personnel count. Tracking zones: Inside blast wall, outside blast wall, AFT machinery Space, FWD machinery space. Muster zones(To be finalized during detail design): CCR, Mess Room, Lifeboats muster points, Hospital, FRC, Fire stations, FWD TR and E house etc.
•	During mustering, the application shall show summary of all muster area count status.
•	To install at below locations;
o	Primary Control Room - CCR/Emergency Response Room (ERR)
o	Secondary Control Room - E House </t>
    </r>
  </si>
  <si>
    <r>
      <rPr>
        <b/>
        <sz val="11"/>
        <color theme="1"/>
        <rFont val="Arial"/>
        <family val="2"/>
      </rPr>
      <t>Ex BLE Beacons</t>
    </r>
    <r>
      <rPr>
        <sz val="11"/>
        <color theme="1"/>
        <rFont val="Arial"/>
        <family val="2"/>
      </rPr>
      <t xml:space="preserve">
•	Industrial-grade BLE beacons
•	Power source: Battery
-	Powered by batteries shall present autonomy for 3 years, considering a 2s time transmission cycle. The battery status shall be monitored remotely, and alarms shall be sent warning when the battery achieves 20% of its autonomy and keep warning at each 5% lower than 20%.
•	IP66 rated housing
•	Operating temperature range from -20° to +60° 
•	The BLE beacons can communicate between them using Bluetooth Mesh SIG standard
•	Bluetooth standard to allow communication between the BLE TAG (portable)and the BLE beacons (fixed) shall be 5.1 or higher.
•	IECEx zone 1 certified or suitable for surrounding environment.
•	All beacons shall be ANATEL approved type
•	To install below locations;
o	Lifeboat area (Secondary Muster Area) (P/S) x 2 set
o	Fast rescue boat area x 1 set
o	Forward Temporary Refuge x 1 set
o	Blast wall, A-Deck (Outside/Inside, Port/Stbd) x 4 set
o	Blast wall, Main-Deck (Outside/Inside, Port/Stbd) x 4 set
o	Entrance to AFT Machinery Room x 4 set
o	Entrance to FWD machinery space x 4 set
o	Locations TBA x 4 set
Note: All locations shall be duplicated with System-A and System-B readers.</t>
    </r>
  </si>
  <si>
    <r>
      <rPr>
        <b/>
        <sz val="11"/>
        <color theme="1"/>
        <rFont val="Arial"/>
        <family val="2"/>
      </rPr>
      <t>Safe Area BLE Beacons</t>
    </r>
    <r>
      <rPr>
        <sz val="11"/>
        <color theme="1"/>
        <rFont val="Arial"/>
        <family val="2"/>
      </rPr>
      <t xml:space="preserve">
•	Must use one cable from Central Cabinet that provide POE standard to BLE Reader. No coax cables or external antennas to be used.
•	All readers shall be ANATEL approved type
•	To install below locations;
-	Transit Lounge x 1 set
-	Hospital Examination room x 1 set
-	Primary Muster Room (Secondary Hospital) x 2 set
-	CCR x 1 set
-	Mess Room x 2 set
-	Internal Staircase P/S (To/From LQ/ER) x 4 set
-	Outside Fire station P/S (Corridor) x 2 set
-	Inside E-house x 2 set
-	Locations TBA x 2 set
Note: All locations shall be duplicated with System-A and System-B readers.</t>
    </r>
  </si>
  <si>
    <r>
      <rPr>
        <b/>
        <sz val="11"/>
        <color theme="1"/>
        <rFont val="Arial"/>
        <family val="2"/>
      </rPr>
      <t>Portable Tablet</t>
    </r>
    <r>
      <rPr>
        <sz val="11"/>
        <color theme="1"/>
        <rFont val="Arial"/>
        <family val="2"/>
      </rPr>
      <t xml:space="preserve">
•	Suitable for Zone-1 operation
•	ATEX and IECEx certified</t>
    </r>
  </si>
  <si>
    <r>
      <rPr>
        <b/>
        <sz val="11"/>
        <color theme="1"/>
        <rFont val="Arial"/>
        <family val="2"/>
      </rPr>
      <t>E-House Interface Panel</t>
    </r>
    <r>
      <rPr>
        <sz val="11"/>
        <color theme="1"/>
        <rFont val="Arial"/>
        <family val="2"/>
      </rPr>
      <t xml:space="preserve">
Safe area type, wall mounted with suitable IP rating (As per Class requirement) for installation in E-House
•	Local junction box/ wall mounted cabinet with serial converters, power supplies and necessary equipment inside
•	Cable termination inside. Including Fiber Optic cables and Cat 6A cables
•	Auto switchover (ATS) for dual power source
•	Fiber connection to Central Cabinet
•	Includes Fiber Optic connectors, splicing plate, etc.</t>
    </r>
  </si>
  <si>
    <r>
      <rPr>
        <b/>
        <sz val="11"/>
        <color theme="1"/>
        <rFont val="Arial"/>
        <family val="2"/>
      </rPr>
      <t>Indoor (Cabinet and System Hardware)</t>
    </r>
    <r>
      <rPr>
        <sz val="11"/>
        <color theme="1"/>
        <rFont val="Arial"/>
        <family val="2"/>
      </rPr>
      <t xml:space="preserve">
•	Language : English and Portuguese</t>
    </r>
  </si>
  <si>
    <r>
      <rPr>
        <b/>
        <sz val="11"/>
        <color theme="1"/>
        <rFont val="Arial"/>
        <family val="2"/>
      </rPr>
      <t>AS PER ITP, FAT &amp; COMMISSIONING PROCEDURES</t>
    </r>
    <r>
      <rPr>
        <sz val="11"/>
        <color theme="1"/>
        <rFont val="Arial"/>
        <family val="2"/>
      </rPr>
      <t xml:space="preserve">
•	Supplier shall liaise closely with SELLER engineering, for latest, wiring diagrams, and amend, any wiring, as considered necessary, to comply with their system requirements.
•	Supplier shall submit, only individual equipment, interconnection diagrams.
•	Test Certificates for all equipment shall be submitted for SELLER review and also attached with final Supplier documentation.
•	Detailed FAT Procedure shall be provided for SELLER’s review at least 4 weeks prior to actual testing. Signed copy of FAT with remarks shall also be submitted for SELLER’s review, prior to actual equipment shipment, and also uploaded into SELLER’s database (SE Documentum), with final Supplier documents.
•	FAT shall include function testing of all sensors and application software test for all control PCB’s, including testing of the commissioning spare Controller.
•	FAT procedure shall be submitted for SELLER’s review at least two weeks prior to actual FAT. Signed and completed copy of FAT with remarks shall be submitted for SELLER’s review, within a week of the FAT, and at least two weeks, prior to equipment shipping, whichever earlier. This document shall also be uploaded into SELLER’s database (SE Documentum), with final Supplier documents
•	Detailed - Commissioning Procedure, for CONSTRUCTION YARD shall be submitted by Supplier, for SELLER’s approval, 6 weeks prior to actual power-up/commissioning activity in CONSTRUCTION YARD. Completed &amp; Signed copy of commissioning procedures shall be uploaded into SELLER’s data base (SE Documentum), with final Supplier documents. </t>
    </r>
  </si>
  <si>
    <r>
      <t>Subcontractors &amp; Locations</t>
    </r>
    <r>
      <rPr>
        <sz val="11"/>
        <color theme="1"/>
        <rFont val="Arial"/>
        <family val="2"/>
      </rPr>
      <t xml:space="preserve"> (Names and country to be provided)</t>
    </r>
  </si>
  <si>
    <t>1.       Hire the barge ( Barge confirm 4 weeks before Actual Load out date ) &amp; provide barge details (barge detailed drawing , barge class &amp; regulation certificate )</t>
  </si>
  <si>
    <t>2.       Be responsible for MWS (Marine Warranty Survey)</t>
  </si>
  <si>
    <t>3.       Being responsible for vessel stability and voyage plan ( by MWS &amp; barge owner )</t>
  </si>
  <si>
    <t>1.       Water front facility - Jetty condition be assessed by Modec  or MWS</t>
  </si>
  <si>
    <t>2.       Prepare stowage plan, seafastening design &amp; load out procedure (3 weeks before loadout) after receipt Barge drawings form Modec , and submit to MWS for approval 2 weeks before loadout</t>
  </si>
  <si>
    <r>
      <t>1)</t>
    </r>
    <r>
      <rPr>
        <sz val="11"/>
        <color indexed="8"/>
        <rFont val="Arial"/>
        <family val="2"/>
      </rPr>
      <t xml:space="preserve">      Loadout responsibility matrix / organization chart </t>
    </r>
  </si>
  <si>
    <r>
      <t>2)</t>
    </r>
    <r>
      <rPr>
        <sz val="11"/>
        <color indexed="8"/>
        <rFont val="Arial"/>
        <family val="2"/>
      </rPr>
      <t xml:space="preserve">      Loadout equipment and facility </t>
    </r>
  </si>
  <si>
    <r>
      <t>3)</t>
    </r>
    <r>
      <rPr>
        <sz val="11"/>
        <color indexed="8"/>
        <rFont val="Arial"/>
        <family val="2"/>
      </rPr>
      <t xml:space="preserve">      Loadout schedule </t>
    </r>
  </si>
  <si>
    <r>
      <t>4)</t>
    </r>
    <r>
      <rPr>
        <sz val="11"/>
        <color indexed="8"/>
        <rFont val="Arial"/>
        <family val="2"/>
      </rPr>
      <t xml:space="preserve">      Operation procedure &amp; HSEQ procedure </t>
    </r>
  </si>
  <si>
    <r>
      <t>5)</t>
    </r>
    <r>
      <rPr>
        <b/>
        <sz val="11"/>
        <color indexed="8"/>
        <rFont val="Arial"/>
        <family val="2"/>
      </rPr>
      <t xml:space="preserve">      </t>
    </r>
    <r>
      <rPr>
        <sz val="11"/>
        <color indexed="8"/>
        <rFont val="Arial"/>
        <family val="2"/>
      </rPr>
      <t xml:space="preserve">Lifting procedure with lifting rigging arrangement  - </t>
    </r>
    <r>
      <rPr>
        <b/>
        <sz val="11"/>
        <color indexed="8"/>
        <rFont val="Arial"/>
        <family val="2"/>
      </rPr>
      <t xml:space="preserve">to be submitted to MODEC for approval 8 weeks before load out </t>
    </r>
  </si>
  <si>
    <r>
      <t>6)</t>
    </r>
    <r>
      <rPr>
        <sz val="11"/>
        <color indexed="8"/>
        <rFont val="Arial"/>
        <family val="2"/>
      </rPr>
      <t>      Load out arrangement with following info.</t>
    </r>
  </si>
  <si>
    <r>
      <t xml:space="preserve">                                                                           </t>
    </r>
    <r>
      <rPr>
        <sz val="11"/>
        <color indexed="8"/>
        <rFont val="Arial"/>
        <family val="2"/>
      </rPr>
      <t>i.      Load out Site/ Yard layout</t>
    </r>
  </si>
  <si>
    <r>
      <t xml:space="preserve">                                                                         </t>
    </r>
    <r>
      <rPr>
        <sz val="11"/>
        <color indexed="8"/>
        <rFont val="Arial"/>
        <family val="2"/>
      </rPr>
      <t xml:space="preserve">ii.      Equipment / module  load out location </t>
    </r>
  </si>
  <si>
    <r>
      <t xml:space="preserve">                                                                       </t>
    </r>
    <r>
      <rPr>
        <sz val="11"/>
        <color indexed="8"/>
        <rFont val="Arial"/>
        <family val="2"/>
      </rPr>
      <t xml:space="preserve">iii.      Proper strength check on the lifting and transportation route </t>
    </r>
  </si>
  <si>
    <r>
      <t xml:space="preserve">                                                                       </t>
    </r>
    <r>
      <rPr>
        <sz val="11"/>
        <color indexed="8"/>
        <rFont val="Arial"/>
        <family val="2"/>
      </rPr>
      <t>iv.      Tide table and bathmetry</t>
    </r>
  </si>
  <si>
    <r>
      <t>7)</t>
    </r>
    <r>
      <rPr>
        <sz val="11"/>
        <color indexed="8"/>
        <rFont val="Arial"/>
        <family val="2"/>
      </rPr>
      <t xml:space="preserve">      Floating crane information &amp; certificate </t>
    </r>
  </si>
  <si>
    <r>
      <t>8)</t>
    </r>
    <r>
      <rPr>
        <sz val="11"/>
        <color indexed="8"/>
        <rFont val="Arial"/>
        <family val="2"/>
      </rPr>
      <t>      Spreader bar, Shackle &amp; Sling design and certificates</t>
    </r>
  </si>
  <si>
    <r>
      <t>9)</t>
    </r>
    <r>
      <rPr>
        <sz val="11"/>
        <color indexed="8"/>
        <rFont val="Arial"/>
        <family val="2"/>
      </rPr>
      <t>      Spreader bar &amp; padeye NDT report</t>
    </r>
  </si>
  <si>
    <t>3.       Hire trailer (SPMT) / floating crane to loadout the module/ equipment  to barge directly (FOB) &amp; necessary spreader bar , lifting sling and shackles– to be approved by MMS site surveyor</t>
  </si>
  <si>
    <t>4.       Fabrication of seafastening material , and install grillage according to the stowage plan and seafastening drawing , 100% NDT to be performed after welding</t>
  </si>
  <si>
    <t>5.       Port authority application – 24 hours before barge berthing</t>
  </si>
  <si>
    <t>6.       Hot work permit</t>
  </si>
  <si>
    <t>7.       Shim plates ( 3mm &amp; 5mm)</t>
  </si>
  <si>
    <t>8.       Weighing of skid</t>
  </si>
  <si>
    <t>9.       Export Clearance</t>
  </si>
  <si>
    <t xml:space="preserve"> Code Rates: 1/2, 3/4 and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</si>
</sst>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Red]0"/>
  </numFmts>
  <fonts count="20">
    <font>
      <sz val="11"/>
      <color theme="1"/>
      <name val="Calibri"/>
      <family val="2"/>
      <charset val="128"/>
      <scheme val="minor"/>
    </font>
    <font>
      <sz val="10"/>
      <color theme="1"/>
      <name val="72"/>
      <family val="2"/>
    </font>
    <font>
      <b/>
      <sz val="10"/>
      <color theme="1"/>
      <name val="72"/>
      <family val="2"/>
    </font>
    <font>
      <sz val="11"/>
      <color theme="1"/>
      <name val="Calibri"/>
      <family val="2"/>
      <charset val="128"/>
      <scheme val="minor"/>
    </font>
    <font>
      <sz val="12"/>
      <name val="Arial MT"/>
      <family val="2"/>
    </font>
    <font>
      <b/>
      <sz val="11"/>
      <color theme="1"/>
      <name val="72"/>
      <family val="2"/>
    </font>
    <font>
      <sz val="11"/>
      <color theme="1"/>
      <name val="72"/>
      <family val="2"/>
    </font>
    <font>
      <b/>
      <sz val="11"/>
      <color theme="1"/>
      <name val="Arial"/>
      <family val="2"/>
    </font>
    <font>
      <sz val="11"/>
      <color theme="1"/>
      <name val="Arial"/>
      <family val="2"/>
    </font>
    <font>
      <sz val="11"/>
      <color rgb="FF0070C0"/>
      <name val="Arial"/>
      <family val="2"/>
    </font>
    <font>
      <sz val="11"/>
      <color rgb="FF0000FF"/>
      <name val="Arial"/>
      <family val="2"/>
    </font>
    <font>
      <b/>
      <sz val="11"/>
      <color rgb="FF000000"/>
      <name val="Arial"/>
      <family val="2"/>
    </font>
    <font>
      <b/>
      <sz val="11"/>
      <color rgb="FF002060"/>
      <name val="Arial"/>
      <family val="2"/>
    </font>
    <font>
      <sz val="11"/>
      <name val="Arial"/>
      <family val="2"/>
    </font>
    <font>
      <sz val="11"/>
      <color rgb="FFFF0000"/>
      <name val="Arial"/>
      <family val="2"/>
    </font>
    <font>
      <b/>
      <u/>
      <sz val="11"/>
      <name val="Arial"/>
      <family val="2"/>
    </font>
    <font>
      <sz val="11"/>
      <color rgb="FF000000"/>
      <name val="Arial"/>
      <family val="2"/>
    </font>
    <font>
      <sz val="11"/>
      <color indexed="8"/>
      <name val="Arial"/>
      <family val="2"/>
    </font>
    <font>
      <b/>
      <sz val="11"/>
      <color indexed="8"/>
      <name val="Arial"/>
      <family val="2"/>
    </font>
    <font>
      <b/>
      <sz val="11"/>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79998168889431442"/>
        <bgColor indexed="64"/>
      </patternFill>
    </fill>
  </fills>
  <borders count="4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s>
  <cellStyleXfs count="3">
    <xf numFmtId="0" fontId="0" fillId="0" borderId="0"/>
    <xf numFmtId="164" fontId="3" fillId="0" borderId="0" applyFont="0" applyFill="0" applyBorder="0" applyAlignment="0" applyProtection="0"/>
    <xf numFmtId="0" fontId="4" fillId="0" borderId="0"/>
  </cellStyleXfs>
  <cellXfs count="185">
    <xf numFmtId="0" fontId="0" fillId="0" borderId="0" xfId="0"/>
    <xf numFmtId="0" fontId="2"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top"/>
    </xf>
    <xf numFmtId="0" fontId="1" fillId="0" borderId="0" xfId="0" applyFont="1" applyAlignment="1">
      <alignment horizontal="left" vertical="center"/>
    </xf>
    <xf numFmtId="164" fontId="1" fillId="0" borderId="0" xfId="1" applyFont="1" applyBorder="1" applyAlignment="1">
      <alignment horizontal="left" vertical="center"/>
    </xf>
    <xf numFmtId="164" fontId="1" fillId="0" borderId="0" xfId="1" applyFont="1" applyBorder="1" applyAlignment="1">
      <alignment horizontal="center" vertical="center"/>
    </xf>
    <xf numFmtId="0" fontId="0" fillId="0" borderId="0" xfId="0" applyAlignment="1">
      <alignment vertical="center"/>
    </xf>
    <xf numFmtId="0" fontId="4" fillId="0" borderId="0" xfId="2" applyAlignment="1">
      <alignment vertical="center"/>
    </xf>
    <xf numFmtId="0" fontId="1" fillId="0" borderId="0" xfId="0" applyFont="1" applyAlignment="1">
      <alignment horizontal="center" vertical="top"/>
    </xf>
    <xf numFmtId="0" fontId="6" fillId="0" borderId="0" xfId="0" applyFont="1" applyAlignment="1">
      <alignment horizontal="left" vertical="top"/>
    </xf>
    <xf numFmtId="165" fontId="1" fillId="0" borderId="0" xfId="0" applyNumberFormat="1" applyFont="1" applyAlignment="1">
      <alignment horizontal="left" vertical="top"/>
    </xf>
    <xf numFmtId="0" fontId="1" fillId="0" borderId="0" xfId="0" applyFont="1" applyAlignment="1">
      <alignment horizontal="right" vertical="top"/>
    </xf>
    <xf numFmtId="0" fontId="5"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vertical="center"/>
    </xf>
    <xf numFmtId="0" fontId="9" fillId="0" borderId="0" xfId="0" applyFont="1" applyAlignment="1">
      <alignment vertical="center"/>
    </xf>
    <xf numFmtId="0" fontId="7" fillId="0" borderId="4" xfId="0" applyFont="1" applyBorder="1" applyAlignment="1">
      <alignment horizontal="center" vertical="center"/>
    </xf>
    <xf numFmtId="0" fontId="10" fillId="0" borderId="4" xfId="0" applyFont="1" applyBorder="1" applyAlignment="1">
      <alignment vertical="center"/>
    </xf>
    <xf numFmtId="0" fontId="10" fillId="0" borderId="0" xfId="0" applyFont="1" applyAlignment="1">
      <alignment vertical="center"/>
    </xf>
    <xf numFmtId="0" fontId="8" fillId="0" borderId="0" xfId="0" applyFont="1" applyAlignment="1">
      <alignment horizontal="center" vertical="top"/>
    </xf>
    <xf numFmtId="0" fontId="8" fillId="0" borderId="0" xfId="0" applyFont="1" applyAlignment="1">
      <alignment horizontal="right" vertical="top"/>
    </xf>
    <xf numFmtId="0" fontId="11" fillId="3" borderId="1" xfId="0" applyFont="1" applyFill="1" applyBorder="1" applyAlignment="1">
      <alignment horizontal="center" vertical="top" wrapText="1"/>
    </xf>
    <xf numFmtId="0" fontId="11" fillId="3" borderId="2" xfId="0" applyFont="1" applyFill="1" applyBorder="1" applyAlignment="1">
      <alignment horizontal="center" vertical="top" wrapText="1"/>
    </xf>
    <xf numFmtId="0" fontId="11" fillId="3" borderId="3" xfId="0" applyFont="1" applyFill="1" applyBorder="1" applyAlignment="1">
      <alignment horizontal="center" vertical="top" wrapText="1"/>
    </xf>
    <xf numFmtId="0" fontId="8" fillId="0" borderId="0" xfId="0" applyFont="1" applyAlignment="1">
      <alignment horizontal="left" vertical="top"/>
    </xf>
    <xf numFmtId="0" fontId="7" fillId="0" borderId="0" xfId="0" applyFont="1" applyAlignment="1">
      <alignment horizontal="left" vertical="top"/>
    </xf>
    <xf numFmtId="165" fontId="8" fillId="0" borderId="0" xfId="0" applyNumberFormat="1" applyFont="1" applyAlignment="1">
      <alignment horizontal="left" vertical="top"/>
    </xf>
    <xf numFmtId="0" fontId="12" fillId="0" borderId="0" xfId="0" applyFont="1" applyAlignment="1">
      <alignment horizontal="left" vertical="top"/>
    </xf>
    <xf numFmtId="0" fontId="11" fillId="0" borderId="0" xfId="0" applyFont="1" applyAlignment="1">
      <alignment horizontal="left" vertical="top"/>
    </xf>
    <xf numFmtId="0" fontId="7" fillId="2" borderId="1" xfId="0" applyFont="1" applyFill="1" applyBorder="1" applyAlignment="1">
      <alignment horizontal="center" vertical="top"/>
    </xf>
    <xf numFmtId="0" fontId="7" fillId="2" borderId="2" xfId="0" applyFont="1" applyFill="1" applyBorder="1" applyAlignment="1">
      <alignment horizontal="center" vertical="top"/>
    </xf>
    <xf numFmtId="0" fontId="7" fillId="2" borderId="3" xfId="0" applyFont="1" applyFill="1" applyBorder="1" applyAlignment="1">
      <alignment horizontal="center" vertical="top"/>
    </xf>
    <xf numFmtId="0" fontId="11" fillId="2" borderId="31"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39"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11" fillId="3" borderId="39"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8" fillId="0" borderId="34" xfId="0" applyFont="1" applyBorder="1" applyAlignment="1">
      <alignment horizontal="center" vertical="top" wrapText="1"/>
    </xf>
    <xf numFmtId="0" fontId="8" fillId="0" borderId="41" xfId="0" applyFont="1" applyBorder="1" applyAlignment="1">
      <alignment horizontal="center" vertical="top" wrapText="1"/>
    </xf>
    <xf numFmtId="0" fontId="8" fillId="0" borderId="41" xfId="0" applyFont="1" applyBorder="1" applyAlignment="1">
      <alignment horizontal="left" vertical="top" wrapText="1"/>
    </xf>
    <xf numFmtId="0" fontId="8" fillId="0" borderId="42" xfId="0" applyFont="1" applyBorder="1" applyAlignment="1">
      <alignment horizontal="center" vertical="top" wrapText="1"/>
    </xf>
    <xf numFmtId="0" fontId="8" fillId="0" borderId="19" xfId="0" applyFont="1" applyBorder="1" applyAlignment="1">
      <alignment horizontal="center" vertical="top" wrapText="1"/>
    </xf>
    <xf numFmtId="0" fontId="8" fillId="0" borderId="24" xfId="0" applyFont="1" applyBorder="1" applyAlignment="1">
      <alignment horizontal="center" vertical="top" wrapText="1"/>
    </xf>
    <xf numFmtId="0" fontId="8" fillId="0" borderId="24" xfId="0" applyFont="1" applyBorder="1" applyAlignment="1">
      <alignment horizontal="left" vertical="top" wrapText="1"/>
    </xf>
    <xf numFmtId="0" fontId="8" fillId="0" borderId="20" xfId="0" applyFont="1" applyBorder="1" applyAlignment="1">
      <alignment horizontal="center" vertical="top" wrapText="1"/>
    </xf>
    <xf numFmtId="0" fontId="8" fillId="0" borderId="36" xfId="0" applyFont="1" applyBorder="1" applyAlignment="1">
      <alignment horizontal="center" vertical="top" wrapText="1"/>
    </xf>
    <xf numFmtId="0" fontId="8" fillId="0" borderId="43" xfId="0" applyFont="1" applyBorder="1" applyAlignment="1">
      <alignment horizontal="center" vertical="top" wrapText="1"/>
    </xf>
    <xf numFmtId="0" fontId="8" fillId="0" borderId="43" xfId="0" applyFont="1" applyBorder="1" applyAlignment="1">
      <alignment horizontal="left" vertical="top" wrapText="1"/>
    </xf>
    <xf numFmtId="0" fontId="8" fillId="0" borderId="44" xfId="0" applyFont="1" applyBorder="1" applyAlignment="1">
      <alignment horizontal="center" vertical="top" wrapText="1"/>
    </xf>
    <xf numFmtId="0" fontId="8" fillId="0" borderId="40" xfId="0" applyFont="1" applyBorder="1" applyAlignment="1">
      <alignment horizontal="center" vertical="top" wrapText="1"/>
    </xf>
    <xf numFmtId="0" fontId="8" fillId="0" borderId="40" xfId="0" applyFont="1" applyBorder="1" applyAlignment="1">
      <alignment horizontal="center" vertical="top" wrapText="1"/>
    </xf>
    <xf numFmtId="0" fontId="8" fillId="0" borderId="4" xfId="0" applyFont="1" applyBorder="1" applyAlignment="1">
      <alignment horizontal="left" vertical="top" wrapText="1"/>
    </xf>
    <xf numFmtId="0" fontId="8" fillId="0" borderId="4" xfId="0" applyFont="1" applyBorder="1" applyAlignment="1">
      <alignment horizontal="center" vertical="top" wrapText="1"/>
    </xf>
    <xf numFmtId="0" fontId="8" fillId="0" borderId="18" xfId="0" applyFont="1" applyBorder="1" applyAlignment="1">
      <alignment horizontal="center" vertical="top" wrapText="1"/>
    </xf>
    <xf numFmtId="0" fontId="8" fillId="0" borderId="13" xfId="0" applyFont="1" applyBorder="1" applyAlignment="1">
      <alignment horizontal="center" vertical="top" wrapText="1"/>
    </xf>
    <xf numFmtId="0" fontId="8" fillId="0" borderId="14" xfId="0" applyFont="1" applyBorder="1" applyAlignment="1">
      <alignment horizontal="right" vertical="top" wrapText="1"/>
    </xf>
    <xf numFmtId="0" fontId="8" fillId="0" borderId="24" xfId="0" applyFont="1" applyBorder="1" applyAlignment="1">
      <alignment horizontal="center" vertical="top" wrapText="1"/>
    </xf>
    <xf numFmtId="0" fontId="8" fillId="0" borderId="24" xfId="0" applyFont="1" applyBorder="1" applyAlignment="1">
      <alignment horizontal="left" vertical="top" wrapText="1"/>
    </xf>
    <xf numFmtId="0" fontId="8" fillId="0" borderId="19" xfId="0" applyFont="1" applyBorder="1" applyAlignment="1">
      <alignment horizontal="center" vertical="top" wrapText="1"/>
    </xf>
    <xf numFmtId="0" fontId="8" fillId="0" borderId="45" xfId="0" applyFont="1" applyBorder="1" applyAlignment="1">
      <alignment horizontal="center" vertical="top" wrapText="1"/>
    </xf>
    <xf numFmtId="0" fontId="8" fillId="0" borderId="20" xfId="0" applyFont="1" applyBorder="1" applyAlignment="1">
      <alignment horizontal="center" vertical="top" wrapText="1"/>
    </xf>
    <xf numFmtId="0" fontId="8" fillId="0" borderId="4" xfId="0" quotePrefix="1" applyFont="1" applyBorder="1" applyAlignment="1">
      <alignment horizontal="left" vertical="top"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0" borderId="7" xfId="0" applyFont="1" applyBorder="1" applyAlignment="1">
      <alignment horizontal="center" vertical="top"/>
    </xf>
    <xf numFmtId="0" fontId="8" fillId="0" borderId="8" xfId="0" applyFont="1" applyBorder="1" applyAlignment="1">
      <alignment horizontal="left" vertical="top"/>
    </xf>
    <xf numFmtId="165" fontId="8" fillId="0" borderId="8" xfId="0" applyNumberFormat="1" applyFont="1" applyBorder="1" applyAlignment="1">
      <alignment horizontal="left" vertical="top"/>
    </xf>
    <xf numFmtId="0" fontId="8" fillId="0" borderId="16" xfId="0" applyFont="1" applyBorder="1" applyAlignment="1">
      <alignment horizontal="left" vertical="center"/>
    </xf>
    <xf numFmtId="0" fontId="8" fillId="0" borderId="8" xfId="0" applyFont="1" applyBorder="1" applyAlignment="1">
      <alignment horizontal="center" vertical="top"/>
    </xf>
    <xf numFmtId="0" fontId="8" fillId="0" borderId="16" xfId="0" applyFont="1" applyBorder="1" applyAlignment="1">
      <alignment horizontal="center" vertical="top"/>
    </xf>
    <xf numFmtId="0" fontId="8" fillId="0" borderId="9" xfId="0" applyFont="1" applyBorder="1" applyAlignment="1">
      <alignment horizontal="right" vertical="top"/>
    </xf>
    <xf numFmtId="0" fontId="8" fillId="0" borderId="10" xfId="0" applyFont="1" applyBorder="1" applyAlignment="1">
      <alignment horizontal="center" vertical="top" wrapText="1"/>
    </xf>
    <xf numFmtId="0" fontId="8" fillId="0" borderId="11" xfId="0" applyFont="1" applyBorder="1" applyAlignment="1">
      <alignment horizontal="left" vertical="top" wrapText="1"/>
    </xf>
    <xf numFmtId="0" fontId="8" fillId="0" borderId="11" xfId="0" applyFont="1" applyBorder="1" applyAlignment="1">
      <alignment horizontal="center" vertical="top" wrapText="1"/>
    </xf>
    <xf numFmtId="0" fontId="8" fillId="0" borderId="17" xfId="0" applyFont="1" applyBorder="1" applyAlignment="1">
      <alignment horizontal="center" vertical="top" wrapText="1"/>
    </xf>
    <xf numFmtId="0" fontId="8" fillId="0" borderId="12" xfId="0" applyFont="1" applyBorder="1" applyAlignment="1">
      <alignment horizontal="right" vertical="top" wrapText="1"/>
    </xf>
    <xf numFmtId="0" fontId="7" fillId="0" borderId="0" xfId="0" applyFont="1" applyAlignment="1">
      <alignment horizontal="right" vertical="top"/>
    </xf>
    <xf numFmtId="0" fontId="8" fillId="5" borderId="37" xfId="0" applyFont="1" applyFill="1" applyBorder="1" applyAlignment="1">
      <alignment vertical="top"/>
    </xf>
    <xf numFmtId="0" fontId="8" fillId="0" borderId="0" xfId="0" applyFont="1" applyAlignment="1">
      <alignment horizontal="left" vertical="center"/>
    </xf>
    <xf numFmtId="164" fontId="8" fillId="0" borderId="0" xfId="1" applyFont="1" applyBorder="1" applyAlignment="1">
      <alignment horizontal="left" vertical="center"/>
    </xf>
    <xf numFmtId="164" fontId="8" fillId="0" borderId="0" xfId="1" applyFont="1" applyBorder="1" applyAlignment="1">
      <alignment horizontal="center" vertical="center"/>
    </xf>
    <xf numFmtId="0" fontId="7" fillId="5" borderId="31" xfId="0" applyFont="1" applyFill="1" applyBorder="1" applyAlignment="1">
      <alignment horizontal="center" vertical="center"/>
    </xf>
    <xf numFmtId="164" fontId="7" fillId="5" borderId="32" xfId="1" applyFont="1" applyFill="1" applyBorder="1" applyAlignment="1">
      <alignment horizontal="center" vertical="center"/>
    </xf>
    <xf numFmtId="164" fontId="7" fillId="5" borderId="21" xfId="1" applyFont="1" applyFill="1" applyBorder="1" applyAlignment="1">
      <alignment horizontal="center" vertical="center" wrapText="1"/>
    </xf>
    <xf numFmtId="0" fontId="7" fillId="0" borderId="34" xfId="0" applyFont="1" applyBorder="1" applyAlignment="1">
      <alignment horizontal="left" vertical="top"/>
    </xf>
    <xf numFmtId="164" fontId="8" fillId="0" borderId="8" xfId="1" applyFont="1" applyBorder="1" applyAlignment="1">
      <alignment horizontal="left" vertical="center" wrapText="1"/>
    </xf>
    <xf numFmtId="164" fontId="8" fillId="0" borderId="9" xfId="1" applyFont="1" applyBorder="1" applyAlignment="1">
      <alignment horizontal="center" vertical="center"/>
    </xf>
    <xf numFmtId="0" fontId="7" fillId="0" borderId="36" xfId="0" applyFont="1" applyBorder="1" applyAlignment="1">
      <alignment horizontal="left" vertical="top"/>
    </xf>
    <xf numFmtId="164" fontId="8" fillId="0" borderId="6" xfId="1" applyFont="1" applyBorder="1" applyAlignment="1">
      <alignment horizontal="left" vertical="center" wrapText="1"/>
    </xf>
    <xf numFmtId="164" fontId="8" fillId="0" borderId="14" xfId="1" applyFont="1" applyBorder="1" applyAlignment="1">
      <alignment horizontal="center" vertical="center"/>
    </xf>
    <xf numFmtId="0" fontId="7" fillId="0" borderId="35" xfId="0" applyFont="1" applyBorder="1" applyAlignment="1">
      <alignment horizontal="left" vertical="top"/>
    </xf>
    <xf numFmtId="164" fontId="8" fillId="0" borderId="25" xfId="1" applyFont="1" applyBorder="1" applyAlignment="1">
      <alignment horizontal="left" vertical="center" wrapText="1"/>
    </xf>
    <xf numFmtId="164" fontId="8" fillId="0" borderId="12" xfId="1" applyFont="1" applyBorder="1" applyAlignment="1">
      <alignment horizontal="center" vertical="center"/>
    </xf>
    <xf numFmtId="0" fontId="7" fillId="0" borderId="7" xfId="0" applyFont="1" applyBorder="1" applyAlignment="1">
      <alignment horizontal="left" vertical="top"/>
    </xf>
    <xf numFmtId="164" fontId="8" fillId="0" borderId="9" xfId="1" applyFont="1" applyBorder="1" applyAlignment="1">
      <alignment horizontal="center" vertical="center" wrapText="1"/>
    </xf>
    <xf numFmtId="0" fontId="7" fillId="0" borderId="13" xfId="0" applyFont="1" applyBorder="1" applyAlignment="1">
      <alignment horizontal="left" vertical="top"/>
    </xf>
    <xf numFmtId="164" fontId="8" fillId="0" borderId="4" xfId="1" applyFont="1" applyBorder="1" applyAlignment="1">
      <alignment horizontal="left" vertical="center"/>
    </xf>
    <xf numFmtId="164" fontId="8" fillId="0" borderId="4" xfId="1" applyFont="1" applyBorder="1" applyAlignment="1">
      <alignment horizontal="left" vertical="center" wrapText="1"/>
    </xf>
    <xf numFmtId="164" fontId="8" fillId="0" borderId="14" xfId="1" applyFont="1" applyBorder="1" applyAlignment="1">
      <alignment horizontal="center" vertical="center" wrapText="1"/>
    </xf>
    <xf numFmtId="0" fontId="7" fillId="0" borderId="19" xfId="0" applyFont="1" applyBorder="1" applyAlignment="1">
      <alignment horizontal="left" vertical="top"/>
    </xf>
    <xf numFmtId="164" fontId="8" fillId="0" borderId="18" xfId="1" applyFont="1" applyBorder="1" applyAlignment="1">
      <alignment horizontal="left" vertical="center" wrapText="1"/>
    </xf>
    <xf numFmtId="164" fontId="8" fillId="0" borderId="33" xfId="1" applyFont="1" applyBorder="1" applyAlignment="1">
      <alignment horizontal="left" vertical="center" wrapText="1"/>
    </xf>
    <xf numFmtId="164" fontId="8" fillId="0" borderId="20" xfId="1" applyFont="1" applyBorder="1" applyAlignment="1">
      <alignment horizontal="center" vertical="center" wrapText="1"/>
    </xf>
    <xf numFmtId="0" fontId="7" fillId="0" borderId="10" xfId="0" applyFont="1" applyBorder="1" applyAlignment="1">
      <alignment horizontal="left" vertical="top"/>
    </xf>
    <xf numFmtId="164" fontId="8" fillId="0" borderId="11" xfId="1" applyFont="1" applyBorder="1" applyAlignment="1">
      <alignment horizontal="left" vertical="center" wrapText="1"/>
    </xf>
    <xf numFmtId="164" fontId="8" fillId="0" borderId="12" xfId="1" applyFont="1" applyBorder="1" applyAlignment="1">
      <alignment horizontal="center" vertical="center" wrapText="1"/>
    </xf>
    <xf numFmtId="164" fontId="13" fillId="0" borderId="4" xfId="1" applyFont="1" applyFill="1" applyBorder="1" applyAlignment="1">
      <alignment horizontal="left" vertical="center" wrapText="1"/>
    </xf>
    <xf numFmtId="164" fontId="13" fillId="0" borderId="14" xfId="1" applyFont="1" applyFill="1" applyBorder="1" applyAlignment="1">
      <alignment horizontal="center" vertical="center" wrapText="1"/>
    </xf>
    <xf numFmtId="9" fontId="8" fillId="0" borderId="4" xfId="0" applyNumberFormat="1" applyFont="1" applyBorder="1" applyAlignment="1">
      <alignment horizontal="center" vertical="top"/>
    </xf>
    <xf numFmtId="9" fontId="13" fillId="0" borderId="4" xfId="0" applyNumberFormat="1" applyFont="1" applyBorder="1" applyAlignment="1">
      <alignment horizontal="center" vertical="top"/>
    </xf>
    <xf numFmtId="0" fontId="13" fillId="0" borderId="4" xfId="0" applyFont="1" applyBorder="1" applyAlignment="1">
      <alignment horizontal="left" vertical="top" wrapText="1"/>
    </xf>
    <xf numFmtId="0" fontId="8" fillId="0" borderId="17" xfId="0" applyFont="1" applyBorder="1" applyAlignment="1">
      <alignment horizontal="left" vertical="center"/>
    </xf>
    <xf numFmtId="0" fontId="8" fillId="0" borderId="23" xfId="0" applyFont="1" applyBorder="1" applyAlignment="1">
      <alignment horizontal="left" vertical="center"/>
    </xf>
    <xf numFmtId="164" fontId="14" fillId="0" borderId="12" xfId="1" applyFont="1" applyBorder="1" applyAlignment="1">
      <alignment horizontal="center" vertical="center" wrapText="1"/>
    </xf>
    <xf numFmtId="0" fontId="7" fillId="0" borderId="7" xfId="0" applyFont="1" applyBorder="1" applyAlignment="1">
      <alignment horizontal="left" vertical="top" wrapText="1"/>
    </xf>
    <xf numFmtId="0" fontId="7" fillId="0" borderId="13" xfId="0" applyFont="1" applyBorder="1" applyAlignment="1">
      <alignment horizontal="left" vertical="top" wrapText="1"/>
    </xf>
    <xf numFmtId="0" fontId="7" fillId="0" borderId="19" xfId="0" applyFont="1" applyBorder="1" applyAlignment="1">
      <alignment horizontal="left" vertical="top" wrapText="1"/>
    </xf>
    <xf numFmtId="164" fontId="8" fillId="0" borderId="24" xfId="1" applyFont="1" applyBorder="1" applyAlignment="1">
      <alignment horizontal="left" vertical="center" wrapText="1"/>
    </xf>
    <xf numFmtId="164" fontId="14" fillId="0" borderId="9" xfId="1" applyFont="1" applyBorder="1" applyAlignment="1">
      <alignment horizontal="center" vertical="center" wrapText="1"/>
    </xf>
    <xf numFmtId="164" fontId="8" fillId="0" borderId="20" xfId="1" applyFont="1" applyBorder="1" applyAlignment="1">
      <alignment horizontal="center" vertical="center"/>
    </xf>
    <xf numFmtId="0" fontId="8" fillId="0" borderId="16" xfId="0" applyFont="1" applyBorder="1" applyAlignment="1">
      <alignment horizontal="left" vertical="center"/>
    </xf>
    <xf numFmtId="0" fontId="8" fillId="0" borderId="22" xfId="0" applyFont="1" applyBorder="1" applyAlignment="1">
      <alignment horizontal="left" vertical="center"/>
    </xf>
    <xf numFmtId="0" fontId="8" fillId="0" borderId="18" xfId="0" applyFont="1" applyBorder="1" applyAlignment="1">
      <alignment horizontal="left" vertical="center"/>
    </xf>
    <xf numFmtId="0" fontId="8" fillId="0" borderId="33" xfId="0" applyFont="1" applyBorder="1" applyAlignment="1">
      <alignment horizontal="left" vertical="center"/>
    </xf>
    <xf numFmtId="0" fontId="15" fillId="0" borderId="0" xfId="2" applyFont="1" applyAlignment="1">
      <alignment vertical="center"/>
    </xf>
    <xf numFmtId="0" fontId="13" fillId="0" borderId="0" xfId="2" applyFont="1" applyAlignment="1">
      <alignment horizontal="left" vertical="center"/>
    </xf>
    <xf numFmtId="0" fontId="13" fillId="0" borderId="0" xfId="2" applyFont="1" applyAlignment="1">
      <alignment vertical="center"/>
    </xf>
    <xf numFmtId="0" fontId="15" fillId="0" borderId="0" xfId="2" applyFont="1" applyAlignment="1">
      <alignment horizontal="left" vertical="center"/>
    </xf>
    <xf numFmtId="0" fontId="16" fillId="0" borderId="0" xfId="2" applyFont="1" applyAlignment="1">
      <alignment horizontal="left" vertical="center"/>
    </xf>
    <xf numFmtId="0" fontId="11" fillId="0" borderId="0" xfId="2" applyFont="1" applyAlignment="1">
      <alignment horizontal="left" vertical="center"/>
    </xf>
    <xf numFmtId="0" fontId="19" fillId="0" borderId="0" xfId="2" applyFont="1" applyAlignment="1">
      <alignment vertical="center"/>
    </xf>
    <xf numFmtId="0" fontId="8" fillId="0" borderId="14" xfId="0" applyFont="1" applyBorder="1" applyAlignment="1">
      <alignment vertical="center"/>
    </xf>
    <xf numFmtId="0" fontId="8" fillId="0" borderId="12" xfId="0" applyFont="1" applyBorder="1" applyAlignment="1">
      <alignment vertical="center"/>
    </xf>
    <xf numFmtId="0" fontId="8" fillId="0" borderId="10" xfId="0" applyFont="1" applyBorder="1" applyAlignment="1">
      <alignment vertical="center"/>
    </xf>
    <xf numFmtId="0" fontId="8" fillId="0" borderId="29" xfId="0" applyFont="1" applyBorder="1" applyAlignment="1">
      <alignment vertical="center"/>
    </xf>
    <xf numFmtId="0" fontId="19" fillId="4" borderId="26" xfId="0" applyFont="1" applyFill="1" applyBorder="1" applyAlignment="1">
      <alignment horizontal="left" vertical="center"/>
    </xf>
    <xf numFmtId="0" fontId="19" fillId="4" borderId="27" xfId="0" applyFont="1" applyFill="1" applyBorder="1" applyAlignment="1">
      <alignment horizontal="left" vertical="center"/>
    </xf>
    <xf numFmtId="0" fontId="13" fillId="0" borderId="5"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vertical="center"/>
    </xf>
    <xf numFmtId="0" fontId="13" fillId="0" borderId="15" xfId="0" applyFont="1" applyBorder="1" applyAlignment="1">
      <alignment horizontal="left" vertical="center"/>
    </xf>
    <xf numFmtId="0" fontId="13" fillId="0" borderId="4" xfId="0" applyFont="1" applyBorder="1" applyAlignment="1">
      <alignment horizontal="left" vertical="center"/>
    </xf>
    <xf numFmtId="0" fontId="13" fillId="0" borderId="14" xfId="0" applyFont="1" applyBorder="1" applyAlignment="1">
      <alignment vertical="center"/>
    </xf>
    <xf numFmtId="0" fontId="13" fillId="0" borderId="28" xfId="0"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vertical="center"/>
    </xf>
    <xf numFmtId="0" fontId="13" fillId="0" borderId="0" xfId="0" applyFont="1" applyAlignment="1">
      <alignment horizontal="left" vertical="center"/>
    </xf>
    <xf numFmtId="0" fontId="13" fillId="0" borderId="0" xfId="0" applyFont="1" applyAlignment="1">
      <alignment vertical="center"/>
    </xf>
    <xf numFmtId="0" fontId="13" fillId="0" borderId="7" xfId="0" applyFont="1" applyBorder="1" applyAlignment="1">
      <alignment horizontal="left" vertical="center"/>
    </xf>
    <xf numFmtId="0" fontId="13" fillId="0" borderId="8" xfId="0" applyFont="1" applyBorder="1" applyAlignment="1">
      <alignment vertical="center"/>
    </xf>
    <xf numFmtId="0" fontId="13" fillId="0" borderId="13" xfId="0" applyFont="1" applyBorder="1" applyAlignment="1">
      <alignment horizontal="left" vertical="center"/>
    </xf>
    <xf numFmtId="0" fontId="13" fillId="0" borderId="4" xfId="0" applyFont="1" applyBorder="1" applyAlignment="1">
      <alignment vertical="center"/>
    </xf>
    <xf numFmtId="0" fontId="13" fillId="0" borderId="10" xfId="0" applyFont="1" applyBorder="1" applyAlignment="1">
      <alignment horizontal="left" vertical="center"/>
    </xf>
    <xf numFmtId="0" fontId="13" fillId="0" borderId="11" xfId="0" applyFont="1" applyBorder="1" applyAlignment="1">
      <alignment vertical="center"/>
    </xf>
    <xf numFmtId="0" fontId="13" fillId="0" borderId="12" xfId="0" applyFont="1" applyBorder="1" applyAlignment="1">
      <alignment horizontal="left" vertical="center"/>
    </xf>
    <xf numFmtId="0" fontId="13" fillId="0" borderId="19" xfId="0" applyFont="1" applyBorder="1" applyAlignment="1">
      <alignment horizontal="left" vertical="center"/>
    </xf>
    <xf numFmtId="0" fontId="13" fillId="0" borderId="30" xfId="0" applyFont="1" applyBorder="1" applyAlignment="1">
      <alignment vertical="center"/>
    </xf>
    <xf numFmtId="0" fontId="13" fillId="0" borderId="31" xfId="0" applyFont="1" applyBorder="1" applyAlignment="1">
      <alignment horizontal="left" vertical="center"/>
    </xf>
    <xf numFmtId="0" fontId="13" fillId="0" borderId="32" xfId="0" applyFont="1" applyBorder="1" applyAlignment="1">
      <alignment horizontal="left" vertical="center"/>
    </xf>
    <xf numFmtId="0" fontId="13" fillId="0" borderId="21" xfId="0" applyFont="1" applyBorder="1" applyAlignment="1">
      <alignment vertical="center" wrapText="1"/>
    </xf>
    <xf numFmtId="0" fontId="13" fillId="0" borderId="21" xfId="0" applyFont="1" applyBorder="1" applyAlignment="1">
      <alignment vertical="center"/>
    </xf>
    <xf numFmtId="0" fontId="13" fillId="0" borderId="32" xfId="0" applyFont="1" applyBorder="1" applyAlignment="1">
      <alignment vertical="center"/>
    </xf>
    <xf numFmtId="0" fontId="13" fillId="0" borderId="9" xfId="0" applyFont="1" applyBorder="1" applyAlignment="1">
      <alignment vertical="center" wrapText="1"/>
    </xf>
    <xf numFmtId="0" fontId="13" fillId="0" borderId="14" xfId="0" applyFont="1" applyBorder="1" applyAlignment="1">
      <alignment vertical="center" wrapText="1"/>
    </xf>
    <xf numFmtId="0" fontId="13" fillId="0" borderId="8" xfId="0" applyFont="1" applyBorder="1" applyAlignment="1">
      <alignment vertical="center" wrapText="1"/>
    </xf>
    <xf numFmtId="0" fontId="13" fillId="0" borderId="4" xfId="0" applyFont="1" applyBorder="1" applyAlignment="1">
      <alignment vertical="center" wrapText="1"/>
    </xf>
    <xf numFmtId="0" fontId="13" fillId="0" borderId="11" xfId="0" applyFont="1" applyBorder="1" applyAlignment="1">
      <alignment vertical="center" wrapText="1"/>
    </xf>
    <xf numFmtId="0" fontId="13" fillId="0" borderId="0" xfId="0" applyFont="1" applyAlignment="1">
      <alignment vertical="center" wrapText="1"/>
    </xf>
    <xf numFmtId="0" fontId="13" fillId="0" borderId="12" xfId="0" applyFont="1" applyBorder="1" applyAlignment="1">
      <alignment vertical="center" wrapText="1"/>
    </xf>
    <xf numFmtId="0" fontId="13" fillId="0" borderId="7" xfId="0" applyFont="1" applyBorder="1" applyAlignment="1">
      <alignment vertical="center" wrapText="1"/>
    </xf>
    <xf numFmtId="0" fontId="13" fillId="0" borderId="10" xfId="0" applyFont="1" applyBorder="1" applyAlignment="1">
      <alignment horizontal="left" vertical="center" wrapText="1"/>
    </xf>
    <xf numFmtId="0" fontId="8" fillId="0" borderId="0" xfId="0" applyFont="1"/>
    <xf numFmtId="0" fontId="8" fillId="0" borderId="0" xfId="0" applyFont="1" applyAlignment="1">
      <alignment wrapText="1"/>
    </xf>
    <xf numFmtId="0" fontId="7" fillId="0" borderId="0" xfId="0" applyFont="1" applyAlignment="1">
      <alignment vertical="center"/>
    </xf>
    <xf numFmtId="0" fontId="8" fillId="0" borderId="0" xfId="0" applyFont="1" applyAlignment="1">
      <alignment horizontal="left" vertical="center" indent="2"/>
    </xf>
    <xf numFmtId="0" fontId="7" fillId="0" borderId="0" xfId="0" applyFont="1" applyAlignment="1">
      <alignment horizontal="left" vertical="center" indent="1"/>
    </xf>
    <xf numFmtId="0" fontId="8" fillId="0" borderId="0" xfId="0" applyFont="1" applyAlignment="1">
      <alignment horizontal="left" vertical="center" indent="1"/>
    </xf>
    <xf numFmtId="0" fontId="7" fillId="0" borderId="0" xfId="0" applyFont="1" applyAlignment="1">
      <alignment horizontal="left" vertical="center" indent="3"/>
    </xf>
    <xf numFmtId="0" fontId="8" fillId="0" borderId="0" xfId="0" applyFont="1" applyAlignment="1">
      <alignment horizontal="justify" vertical="center"/>
    </xf>
    <xf numFmtId="0" fontId="8" fillId="0" borderId="0" xfId="0" applyFont="1" applyAlignment="1">
      <alignment horizontal="left" vertical="center" indent="9"/>
    </xf>
    <xf numFmtId="0" fontId="8" fillId="0" borderId="0" xfId="0" applyFont="1" applyAlignment="1">
      <alignment horizontal="left" vertical="center" indent="3"/>
    </xf>
  </cellXfs>
  <cellStyles count="3">
    <cellStyle name="Comma [0]" xfId="1" builtinId="6"/>
    <cellStyle name="Normal" xfId="0" builtinId="0"/>
    <cellStyle name="Normal 2 4" xfId="2" xr:uid="{383625AE-9085-4608-9DC0-A6D6AF5805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BCAA0-B51A-47A6-888C-D09601D450CA}">
  <dimension ref="B1:E14"/>
  <sheetViews>
    <sheetView workbookViewId="0">
      <selection activeCell="C23" sqref="C23"/>
    </sheetView>
  </sheetViews>
  <sheetFormatPr baseColWidth="10" defaultColWidth="8.6640625" defaultRowHeight="15"/>
  <cols>
    <col min="1" max="1" width="8.6640625" style="7"/>
    <col min="2" max="2" width="27.1640625" style="7" customWidth="1"/>
    <col min="3" max="3" width="58.33203125" style="7" customWidth="1"/>
    <col min="4" max="16384" width="8.6640625" style="7"/>
  </cols>
  <sheetData>
    <row r="1" spans="2:5">
      <c r="B1" s="14" t="str">
        <f>Price!B1</f>
        <v>Buzios 12</v>
      </c>
      <c r="C1" s="15"/>
      <c r="D1" s="15"/>
      <c r="E1" s="15"/>
    </row>
    <row r="2" spans="2:5">
      <c r="B2" s="14" t="str">
        <f>Price!B2</f>
        <v>55-6360</v>
      </c>
      <c r="C2" s="15"/>
      <c r="D2" s="15"/>
      <c r="E2" s="15"/>
    </row>
    <row r="3" spans="2:5">
      <c r="B3" s="14" t="str">
        <f>Price!B3</f>
        <v>POB &amp; E-Mustering System</v>
      </c>
      <c r="C3" s="15"/>
      <c r="D3" s="15"/>
      <c r="E3" s="15"/>
    </row>
    <row r="4" spans="2:5">
      <c r="B4" s="15"/>
      <c r="C4" s="15"/>
      <c r="D4" s="15"/>
      <c r="E4" s="15"/>
    </row>
    <row r="5" spans="2:5">
      <c r="B5" s="16" t="s">
        <v>0</v>
      </c>
      <c r="C5" s="15"/>
      <c r="D5" s="15"/>
      <c r="E5" s="15"/>
    </row>
    <row r="6" spans="2:5">
      <c r="B6" s="17" t="s">
        <v>1</v>
      </c>
      <c r="C6" s="17" t="s">
        <v>2</v>
      </c>
      <c r="D6" s="15"/>
      <c r="E6" s="15"/>
    </row>
    <row r="7" spans="2:5">
      <c r="B7" s="18" t="s">
        <v>3</v>
      </c>
      <c r="C7" s="18" t="s">
        <v>4</v>
      </c>
      <c r="D7" s="19"/>
      <c r="E7" s="19"/>
    </row>
    <row r="8" spans="2:5">
      <c r="B8" s="18" t="s">
        <v>5</v>
      </c>
      <c r="C8" s="18" t="s">
        <v>6</v>
      </c>
      <c r="D8" s="15"/>
      <c r="E8" s="15"/>
    </row>
    <row r="9" spans="2:5">
      <c r="B9" s="18" t="s">
        <v>7</v>
      </c>
      <c r="C9" s="18" t="s">
        <v>8</v>
      </c>
      <c r="D9" s="15"/>
      <c r="E9" s="15"/>
    </row>
    <row r="10" spans="2:5">
      <c r="B10" s="18" t="s">
        <v>9</v>
      </c>
      <c r="C10" s="18" t="s">
        <v>4</v>
      </c>
      <c r="D10" s="19"/>
      <c r="E10" s="19"/>
    </row>
    <row r="11" spans="2:5">
      <c r="B11" s="18" t="s">
        <v>10</v>
      </c>
      <c r="C11" s="18" t="s">
        <v>11</v>
      </c>
      <c r="D11" s="19"/>
      <c r="E11" s="19"/>
    </row>
    <row r="12" spans="2:5">
      <c r="B12" s="18" t="s">
        <v>12</v>
      </c>
      <c r="C12" s="18" t="s">
        <v>13</v>
      </c>
      <c r="D12" s="15"/>
      <c r="E12" s="15"/>
    </row>
    <row r="13" spans="2:5">
      <c r="B13" s="15"/>
      <c r="C13" s="15"/>
      <c r="D13" s="15"/>
      <c r="E13" s="15"/>
    </row>
    <row r="14" spans="2:5">
      <c r="B14" s="19" t="s">
        <v>14</v>
      </c>
      <c r="C14" s="15"/>
      <c r="D14" s="15"/>
      <c r="E14"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3401-0D15-455F-870F-ACE40745E639}">
  <dimension ref="B1:K44"/>
  <sheetViews>
    <sheetView zoomScale="150" zoomScaleNormal="89" workbookViewId="0">
      <pane ySplit="6" topLeftCell="A37" activePane="bottomLeft" state="frozen"/>
      <selection pane="bottomLeft" activeCell="D18" sqref="D18"/>
    </sheetView>
  </sheetViews>
  <sheetFormatPr baseColWidth="10" defaultColWidth="8.6640625" defaultRowHeight="15"/>
  <cols>
    <col min="1" max="1" width="4.5" style="10" customWidth="1"/>
    <col min="2" max="2" width="8.6640625" style="9"/>
    <col min="3" max="3" width="13.5" style="3" customWidth="1"/>
    <col min="4" max="4" width="36.6640625" style="11" customWidth="1"/>
    <col min="5" max="5" width="97.33203125" style="3" customWidth="1"/>
    <col min="6" max="6" width="10.6640625" style="9" customWidth="1"/>
    <col min="7" max="7" width="8.6640625" style="9"/>
    <col min="8" max="9" width="12.1640625" style="9" customWidth="1"/>
    <col min="10" max="10" width="15.33203125" style="9" customWidth="1"/>
    <col min="11" max="11" width="15.1640625" style="12" customWidth="1"/>
    <col min="12" max="16384" width="8.6640625" style="10"/>
  </cols>
  <sheetData>
    <row r="1" spans="2:11">
      <c r="B1" s="26" t="s">
        <v>15</v>
      </c>
      <c r="C1" s="25"/>
      <c r="D1" s="27"/>
      <c r="E1" s="25"/>
      <c r="F1" s="20"/>
      <c r="G1" s="20"/>
      <c r="H1" s="20"/>
      <c r="I1" s="20"/>
      <c r="J1" s="20"/>
      <c r="K1" s="21"/>
    </row>
    <row r="2" spans="2:11" ht="16" thickBot="1">
      <c r="B2" s="28" t="s">
        <v>324</v>
      </c>
      <c r="C2" s="25"/>
      <c r="D2" s="27"/>
      <c r="E2" s="25"/>
      <c r="F2" s="20"/>
      <c r="G2" s="20"/>
      <c r="H2" s="20"/>
      <c r="I2" s="20"/>
      <c r="J2" s="20"/>
      <c r="K2" s="21"/>
    </row>
    <row r="3" spans="2:11" ht="20.25" customHeight="1" thickBot="1">
      <c r="B3" s="28" t="s">
        <v>325</v>
      </c>
      <c r="C3" s="29"/>
      <c r="D3" s="27"/>
      <c r="E3" s="25"/>
      <c r="F3" s="20"/>
      <c r="G3" s="21" t="s">
        <v>16</v>
      </c>
      <c r="H3" s="30"/>
      <c r="I3" s="31"/>
      <c r="J3" s="31"/>
      <c r="K3" s="32"/>
    </row>
    <row r="4" spans="2:11" ht="16" thickBot="1">
      <c r="B4" s="25"/>
      <c r="C4" s="25"/>
      <c r="D4" s="27"/>
      <c r="E4" s="25"/>
      <c r="F4" s="20"/>
      <c r="G4" s="20"/>
      <c r="H4" s="20"/>
      <c r="I4" s="20"/>
      <c r="J4" s="20"/>
      <c r="K4" s="21"/>
    </row>
    <row r="5" spans="2:11" ht="18" customHeight="1" thickBot="1">
      <c r="B5" s="26" t="s">
        <v>17</v>
      </c>
      <c r="C5" s="25"/>
      <c r="D5" s="27"/>
      <c r="E5" s="25"/>
      <c r="F5" s="20"/>
      <c r="G5" s="20"/>
      <c r="H5" s="22" t="s">
        <v>18</v>
      </c>
      <c r="I5" s="23"/>
      <c r="J5" s="23"/>
      <c r="K5" s="24"/>
    </row>
    <row r="6" spans="2:11" ht="69" customHeight="1" thickBot="1">
      <c r="B6" s="33" t="s">
        <v>19</v>
      </c>
      <c r="C6" s="34" t="s">
        <v>20</v>
      </c>
      <c r="D6" s="34" t="s">
        <v>21</v>
      </c>
      <c r="E6" s="35" t="s">
        <v>22</v>
      </c>
      <c r="F6" s="34" t="s">
        <v>23</v>
      </c>
      <c r="G6" s="36" t="s">
        <v>24</v>
      </c>
      <c r="H6" s="37" t="s">
        <v>25</v>
      </c>
      <c r="I6" s="38" t="s">
        <v>26</v>
      </c>
      <c r="J6" s="38" t="s">
        <v>279</v>
      </c>
      <c r="K6" s="39" t="s">
        <v>280</v>
      </c>
    </row>
    <row r="7" spans="2:11" ht="111" customHeight="1">
      <c r="B7" s="40"/>
      <c r="C7" s="41"/>
      <c r="D7" s="42" t="s">
        <v>194</v>
      </c>
      <c r="E7" s="42" t="s">
        <v>286</v>
      </c>
      <c r="F7" s="41"/>
      <c r="G7" s="43"/>
      <c r="H7" s="40"/>
      <c r="I7" s="41"/>
      <c r="J7" s="41"/>
      <c r="K7" s="43"/>
    </row>
    <row r="8" spans="2:11" ht="409.5" customHeight="1">
      <c r="B8" s="44">
        <v>10</v>
      </c>
      <c r="C8" s="45"/>
      <c r="D8" s="46" t="s">
        <v>287</v>
      </c>
      <c r="E8" s="46" t="s">
        <v>326</v>
      </c>
      <c r="F8" s="45" t="s">
        <v>28</v>
      </c>
      <c r="G8" s="47">
        <v>1</v>
      </c>
      <c r="H8" s="44"/>
      <c r="I8" s="45"/>
      <c r="J8" s="45"/>
      <c r="K8" s="47"/>
    </row>
    <row r="9" spans="2:11" ht="375" customHeight="1">
      <c r="B9" s="48"/>
      <c r="C9" s="49"/>
      <c r="D9" s="50"/>
      <c r="E9" s="50"/>
      <c r="F9" s="49"/>
      <c r="G9" s="51"/>
      <c r="H9" s="48"/>
      <c r="I9" s="49"/>
      <c r="J9" s="49"/>
      <c r="K9" s="51"/>
    </row>
    <row r="10" spans="2:11" ht="409.5" customHeight="1">
      <c r="B10" s="44">
        <v>10</v>
      </c>
      <c r="C10" s="45"/>
      <c r="D10" s="46" t="s">
        <v>287</v>
      </c>
      <c r="E10" s="46" t="s">
        <v>327</v>
      </c>
      <c r="F10" s="45" t="s">
        <v>28</v>
      </c>
      <c r="G10" s="47">
        <v>1</v>
      </c>
      <c r="H10" s="44"/>
      <c r="I10" s="45"/>
      <c r="J10" s="45"/>
      <c r="K10" s="47"/>
    </row>
    <row r="11" spans="2:11" ht="375" customHeight="1">
      <c r="B11" s="52"/>
      <c r="C11" s="49"/>
      <c r="D11" s="50"/>
      <c r="E11" s="50"/>
      <c r="F11" s="49"/>
      <c r="G11" s="51"/>
      <c r="H11" s="48"/>
      <c r="I11" s="49"/>
      <c r="J11" s="49"/>
      <c r="K11" s="51"/>
    </row>
    <row r="12" spans="2:11" ht="185" customHeight="1">
      <c r="B12" s="53">
        <v>20</v>
      </c>
      <c r="C12" s="54"/>
      <c r="D12" s="54" t="s">
        <v>289</v>
      </c>
      <c r="E12" s="54" t="s">
        <v>328</v>
      </c>
      <c r="F12" s="55" t="s">
        <v>195</v>
      </c>
      <c r="G12" s="56">
        <v>3</v>
      </c>
      <c r="H12" s="57"/>
      <c r="I12" s="55"/>
      <c r="J12" s="56"/>
      <c r="K12" s="58"/>
    </row>
    <row r="13" spans="2:11" ht="126.5" customHeight="1">
      <c r="B13" s="53">
        <v>30</v>
      </c>
      <c r="C13" s="54"/>
      <c r="D13" s="54" t="s">
        <v>288</v>
      </c>
      <c r="E13" s="54" t="s">
        <v>329</v>
      </c>
      <c r="F13" s="55" t="s">
        <v>195</v>
      </c>
      <c r="G13" s="56">
        <v>1</v>
      </c>
      <c r="H13" s="57"/>
      <c r="I13" s="55"/>
      <c r="J13" s="56"/>
      <c r="K13" s="58"/>
    </row>
    <row r="14" spans="2:11" ht="143.5" customHeight="1">
      <c r="B14" s="53">
        <v>40</v>
      </c>
      <c r="C14" s="54"/>
      <c r="D14" s="54" t="s">
        <v>290</v>
      </c>
      <c r="E14" s="54" t="s">
        <v>330</v>
      </c>
      <c r="F14" s="55" t="s">
        <v>195</v>
      </c>
      <c r="G14" s="56">
        <v>2</v>
      </c>
      <c r="H14" s="57"/>
      <c r="I14" s="55"/>
      <c r="J14" s="56"/>
      <c r="K14" s="58"/>
    </row>
    <row r="15" spans="2:11" ht="273.5" customHeight="1">
      <c r="B15" s="57">
        <v>50</v>
      </c>
      <c r="C15" s="59"/>
      <c r="D15" s="60" t="s">
        <v>291</v>
      </c>
      <c r="E15" s="60" t="s">
        <v>331</v>
      </c>
      <c r="F15" s="55" t="s">
        <v>195</v>
      </c>
      <c r="G15" s="56">
        <v>48</v>
      </c>
      <c r="H15" s="61"/>
      <c r="I15" s="59"/>
      <c r="J15" s="62"/>
      <c r="K15" s="63"/>
    </row>
    <row r="16" spans="2:11" ht="205" customHeight="1">
      <c r="B16" s="53">
        <v>60</v>
      </c>
      <c r="C16" s="54"/>
      <c r="D16" s="60" t="s">
        <v>292</v>
      </c>
      <c r="E16" s="54" t="s">
        <v>332</v>
      </c>
      <c r="F16" s="55" t="s">
        <v>195</v>
      </c>
      <c r="G16" s="56">
        <v>34</v>
      </c>
      <c r="H16" s="57"/>
      <c r="I16" s="55"/>
      <c r="J16" s="56"/>
      <c r="K16" s="58"/>
    </row>
    <row r="17" spans="2:11" ht="104.5" customHeight="1">
      <c r="B17" s="53">
        <v>70</v>
      </c>
      <c r="C17" s="54"/>
      <c r="D17" s="54" t="s">
        <v>293</v>
      </c>
      <c r="E17" s="54" t="s">
        <v>294</v>
      </c>
      <c r="F17" s="55" t="s">
        <v>28</v>
      </c>
      <c r="G17" s="56">
        <v>1</v>
      </c>
      <c r="H17" s="57"/>
      <c r="I17" s="55"/>
      <c r="J17" s="56"/>
      <c r="K17" s="58"/>
    </row>
    <row r="18" spans="2:11" ht="135.5" customHeight="1">
      <c r="B18" s="53">
        <v>80</v>
      </c>
      <c r="C18" s="54"/>
      <c r="D18" s="54" t="s">
        <v>295</v>
      </c>
      <c r="E18" s="54" t="s">
        <v>296</v>
      </c>
      <c r="F18" s="55" t="s">
        <v>28</v>
      </c>
      <c r="G18" s="56">
        <v>1</v>
      </c>
      <c r="H18" s="57"/>
      <c r="I18" s="55"/>
      <c r="J18" s="56"/>
      <c r="K18" s="58"/>
    </row>
    <row r="19" spans="2:11" ht="96" customHeight="1">
      <c r="B19" s="53">
        <v>90</v>
      </c>
      <c r="C19" s="54"/>
      <c r="D19" s="54" t="s">
        <v>297</v>
      </c>
      <c r="E19" s="54" t="s">
        <v>298</v>
      </c>
      <c r="F19" s="55" t="s">
        <v>28</v>
      </c>
      <c r="G19" s="56">
        <v>1</v>
      </c>
      <c r="H19" s="57"/>
      <c r="I19" s="55"/>
      <c r="J19" s="56"/>
      <c r="K19" s="58"/>
    </row>
    <row r="20" spans="2:11" ht="42" customHeight="1">
      <c r="B20" s="53">
        <v>100</v>
      </c>
      <c r="C20" s="54"/>
      <c r="D20" s="54" t="s">
        <v>299</v>
      </c>
      <c r="E20" s="64" t="s">
        <v>300</v>
      </c>
      <c r="F20" s="55" t="s">
        <v>195</v>
      </c>
      <c r="G20" s="56">
        <v>2</v>
      </c>
      <c r="H20" s="57"/>
      <c r="I20" s="55"/>
      <c r="J20" s="56"/>
      <c r="K20" s="58"/>
    </row>
    <row r="21" spans="2:11" ht="62" customHeight="1">
      <c r="B21" s="53">
        <v>110</v>
      </c>
      <c r="C21" s="54"/>
      <c r="D21" s="54" t="s">
        <v>301</v>
      </c>
      <c r="E21" s="64" t="s">
        <v>333</v>
      </c>
      <c r="F21" s="55" t="s">
        <v>195</v>
      </c>
      <c r="G21" s="56">
        <v>2</v>
      </c>
      <c r="H21" s="57"/>
      <c r="I21" s="55"/>
      <c r="J21" s="56"/>
      <c r="K21" s="58"/>
    </row>
    <row r="22" spans="2:11" ht="102" customHeight="1">
      <c r="B22" s="53">
        <v>120</v>
      </c>
      <c r="C22" s="54"/>
      <c r="D22" s="54" t="s">
        <v>302</v>
      </c>
      <c r="E22" s="54" t="s">
        <v>334</v>
      </c>
      <c r="F22" s="55" t="s">
        <v>195</v>
      </c>
      <c r="G22" s="56">
        <v>2</v>
      </c>
      <c r="H22" s="57"/>
      <c r="I22" s="55"/>
      <c r="J22" s="56"/>
      <c r="K22" s="58"/>
    </row>
    <row r="23" spans="2:11" ht="50" customHeight="1">
      <c r="B23" s="53">
        <v>130</v>
      </c>
      <c r="C23" s="54"/>
      <c r="D23" s="54" t="s">
        <v>303</v>
      </c>
      <c r="E23" s="54" t="s">
        <v>335</v>
      </c>
      <c r="F23" s="55" t="s">
        <v>28</v>
      </c>
      <c r="G23" s="56">
        <v>1</v>
      </c>
      <c r="H23" s="57"/>
      <c r="I23" s="55"/>
      <c r="J23" s="56"/>
      <c r="K23" s="58"/>
    </row>
    <row r="24" spans="2:11" ht="53.5" customHeight="1">
      <c r="B24" s="53">
        <v>140</v>
      </c>
      <c r="C24" s="54"/>
      <c r="D24" s="54" t="s">
        <v>304</v>
      </c>
      <c r="E24" s="64" t="s">
        <v>305</v>
      </c>
      <c r="F24" s="55" t="s">
        <v>28</v>
      </c>
      <c r="G24" s="56">
        <v>1</v>
      </c>
      <c r="H24" s="57"/>
      <c r="I24" s="55"/>
      <c r="J24" s="56"/>
      <c r="K24" s="58"/>
    </row>
    <row r="25" spans="2:11" ht="50.5" customHeight="1">
      <c r="B25" s="53">
        <v>150</v>
      </c>
      <c r="C25" s="54"/>
      <c r="D25" s="54" t="s">
        <v>306</v>
      </c>
      <c r="E25" s="54" t="s">
        <v>307</v>
      </c>
      <c r="F25" s="55" t="s">
        <v>28</v>
      </c>
      <c r="G25" s="56">
        <v>1</v>
      </c>
      <c r="H25" s="57"/>
      <c r="I25" s="55"/>
      <c r="J25" s="56"/>
      <c r="K25" s="58"/>
    </row>
    <row r="26" spans="2:11" ht="49" customHeight="1">
      <c r="B26" s="53">
        <v>160</v>
      </c>
      <c r="C26" s="54"/>
      <c r="D26" s="54" t="s">
        <v>308</v>
      </c>
      <c r="E26" s="54" t="s">
        <v>309</v>
      </c>
      <c r="F26" s="55" t="s">
        <v>28</v>
      </c>
      <c r="G26" s="56">
        <v>1</v>
      </c>
      <c r="H26" s="57"/>
      <c r="I26" s="55"/>
      <c r="J26" s="56"/>
      <c r="K26" s="58"/>
    </row>
    <row r="27" spans="2:11" ht="98" customHeight="1">
      <c r="B27" s="53">
        <v>170</v>
      </c>
      <c r="C27" s="54"/>
      <c r="D27" s="54" t="s">
        <v>310</v>
      </c>
      <c r="E27" s="54" t="s">
        <v>311</v>
      </c>
      <c r="F27" s="55" t="s">
        <v>28</v>
      </c>
      <c r="G27" s="56">
        <v>1</v>
      </c>
      <c r="H27" s="57"/>
      <c r="I27" s="55"/>
      <c r="J27" s="56"/>
      <c r="K27" s="58"/>
    </row>
    <row r="28" spans="2:11" ht="91.5" customHeight="1">
      <c r="B28" s="53">
        <v>190</v>
      </c>
      <c r="C28" s="54"/>
      <c r="D28" s="54" t="s">
        <v>281</v>
      </c>
      <c r="E28" s="64" t="s">
        <v>313</v>
      </c>
      <c r="F28" s="55" t="s">
        <v>28</v>
      </c>
      <c r="G28" s="56">
        <v>1</v>
      </c>
      <c r="H28" s="57"/>
      <c r="I28" s="55"/>
      <c r="J28" s="56"/>
      <c r="K28" s="58"/>
    </row>
    <row r="29" spans="2:11" ht="221.5" customHeight="1">
      <c r="B29" s="53">
        <v>200</v>
      </c>
      <c r="C29" s="54"/>
      <c r="D29" s="54" t="s">
        <v>282</v>
      </c>
      <c r="E29" s="64" t="s">
        <v>336</v>
      </c>
      <c r="F29" s="55" t="s">
        <v>28</v>
      </c>
      <c r="G29" s="56">
        <v>1</v>
      </c>
      <c r="H29" s="57"/>
      <c r="I29" s="55"/>
      <c r="J29" s="56"/>
      <c r="K29" s="58"/>
    </row>
    <row r="30" spans="2:11" ht="92.5" customHeight="1">
      <c r="B30" s="53">
        <v>210</v>
      </c>
      <c r="C30" s="54"/>
      <c r="D30" s="54" t="s">
        <v>314</v>
      </c>
      <c r="E30" s="64" t="s">
        <v>315</v>
      </c>
      <c r="F30" s="55" t="s">
        <v>28</v>
      </c>
      <c r="G30" s="56">
        <v>1</v>
      </c>
      <c r="H30" s="57"/>
      <c r="I30" s="55"/>
      <c r="J30" s="56"/>
      <c r="K30" s="58"/>
    </row>
    <row r="31" spans="2:11" ht="43" customHeight="1">
      <c r="B31" s="53">
        <v>220</v>
      </c>
      <c r="C31" s="54"/>
      <c r="D31" s="54" t="s">
        <v>316</v>
      </c>
      <c r="E31" s="54" t="s">
        <v>317</v>
      </c>
      <c r="F31" s="55" t="s">
        <v>28</v>
      </c>
      <c r="G31" s="56">
        <v>1</v>
      </c>
      <c r="H31" s="57"/>
      <c r="I31" s="55"/>
      <c r="J31" s="56"/>
      <c r="K31" s="58"/>
    </row>
    <row r="32" spans="2:11" ht="256.5" customHeight="1">
      <c r="B32" s="53">
        <v>230</v>
      </c>
      <c r="C32" s="54"/>
      <c r="D32" s="54" t="s">
        <v>318</v>
      </c>
      <c r="E32" s="54" t="s">
        <v>319</v>
      </c>
      <c r="F32" s="55" t="s">
        <v>28</v>
      </c>
      <c r="G32" s="56">
        <v>1</v>
      </c>
      <c r="H32" s="57"/>
      <c r="I32" s="55"/>
      <c r="J32" s="56"/>
      <c r="K32" s="58"/>
    </row>
    <row r="33" spans="2:11" ht="67" customHeight="1">
      <c r="B33" s="53">
        <v>240</v>
      </c>
      <c r="C33" s="54"/>
      <c r="D33" s="54" t="s">
        <v>283</v>
      </c>
      <c r="E33" s="54" t="s">
        <v>320</v>
      </c>
      <c r="F33" s="55" t="s">
        <v>28</v>
      </c>
      <c r="G33" s="56">
        <v>1</v>
      </c>
      <c r="H33" s="57"/>
      <c r="I33" s="55"/>
      <c r="J33" s="56"/>
      <c r="K33" s="58"/>
    </row>
    <row r="34" spans="2:11" ht="227.5" customHeight="1" thickBot="1">
      <c r="B34" s="53">
        <v>260</v>
      </c>
      <c r="C34" s="54"/>
      <c r="D34" s="54" t="s">
        <v>322</v>
      </c>
      <c r="E34" s="54" t="s">
        <v>323</v>
      </c>
      <c r="F34" s="55"/>
      <c r="G34" s="56"/>
      <c r="H34" s="57"/>
      <c r="I34" s="55"/>
      <c r="J34" s="56"/>
      <c r="K34" s="58"/>
    </row>
    <row r="35" spans="2:11" s="13" customFormat="1" ht="23.5" customHeight="1" thickBot="1">
      <c r="B35" s="65"/>
      <c r="C35" s="66"/>
      <c r="D35" s="66" t="s">
        <v>29</v>
      </c>
      <c r="E35" s="66"/>
      <c r="F35" s="66"/>
      <c r="G35" s="66"/>
      <c r="H35" s="65"/>
      <c r="I35" s="66"/>
      <c r="J35" s="66"/>
      <c r="K35" s="67"/>
    </row>
    <row r="36" spans="2:11">
      <c r="B36" s="20"/>
      <c r="C36" s="25"/>
      <c r="D36" s="25"/>
      <c r="E36" s="25"/>
      <c r="F36" s="20"/>
      <c r="G36" s="20"/>
      <c r="H36" s="20"/>
      <c r="I36" s="20"/>
      <c r="J36" s="20"/>
      <c r="K36" s="21"/>
    </row>
    <row r="37" spans="2:11" ht="16" thickBot="1">
      <c r="B37" s="26" t="s">
        <v>30</v>
      </c>
      <c r="C37" s="25"/>
      <c r="D37" s="27"/>
      <c r="E37" s="25"/>
      <c r="F37" s="20"/>
      <c r="G37" s="20"/>
      <c r="H37" s="20"/>
      <c r="I37" s="20"/>
      <c r="J37" s="20"/>
      <c r="K37" s="21"/>
    </row>
    <row r="38" spans="2:11" ht="69" customHeight="1" thickBot="1">
      <c r="B38" s="33" t="s">
        <v>19</v>
      </c>
      <c r="C38" s="34" t="s">
        <v>20</v>
      </c>
      <c r="D38" s="34" t="s">
        <v>21</v>
      </c>
      <c r="E38" s="35" t="s">
        <v>22</v>
      </c>
      <c r="F38" s="34" t="s">
        <v>23</v>
      </c>
      <c r="G38" s="36" t="s">
        <v>24</v>
      </c>
      <c r="H38" s="37" t="s">
        <v>25</v>
      </c>
      <c r="I38" s="38" t="s">
        <v>26</v>
      </c>
      <c r="J38" s="38" t="s">
        <v>279</v>
      </c>
      <c r="K38" s="39" t="s">
        <v>27</v>
      </c>
    </row>
    <row r="39" spans="2:11" ht="18.75" customHeight="1">
      <c r="B39" s="68"/>
      <c r="C39" s="69"/>
      <c r="D39" s="70" t="s">
        <v>31</v>
      </c>
      <c r="E39" s="71" t="s">
        <v>32</v>
      </c>
      <c r="F39" s="72" t="s">
        <v>33</v>
      </c>
      <c r="G39" s="72">
        <v>12</v>
      </c>
      <c r="H39" s="72"/>
      <c r="I39" s="72"/>
      <c r="J39" s="73"/>
      <c r="K39" s="74"/>
    </row>
    <row r="40" spans="2:11" ht="36" customHeight="1">
      <c r="B40" s="57"/>
      <c r="C40" s="54"/>
      <c r="D40" s="54" t="s">
        <v>185</v>
      </c>
      <c r="E40" s="54" t="s">
        <v>184</v>
      </c>
      <c r="F40" s="55" t="s">
        <v>28</v>
      </c>
      <c r="G40" s="55">
        <v>1</v>
      </c>
      <c r="H40" s="55"/>
      <c r="I40" s="55"/>
      <c r="J40" s="56"/>
      <c r="K40" s="58"/>
    </row>
    <row r="41" spans="2:11" ht="75" customHeight="1">
      <c r="B41" s="57">
        <v>180</v>
      </c>
      <c r="C41" s="54"/>
      <c r="D41" s="54" t="s">
        <v>186</v>
      </c>
      <c r="E41" s="54" t="s">
        <v>312</v>
      </c>
      <c r="F41" s="55" t="s">
        <v>28</v>
      </c>
      <c r="G41" s="55">
        <v>1</v>
      </c>
      <c r="H41" s="55"/>
      <c r="I41" s="55"/>
      <c r="J41" s="56"/>
      <c r="K41" s="58"/>
    </row>
    <row r="42" spans="2:11" ht="245.5" customHeight="1">
      <c r="B42" s="57">
        <v>250</v>
      </c>
      <c r="C42" s="54"/>
      <c r="D42" s="54" t="s">
        <v>284</v>
      </c>
      <c r="E42" s="54" t="s">
        <v>321</v>
      </c>
      <c r="F42" s="55" t="s">
        <v>28</v>
      </c>
      <c r="G42" s="55">
        <v>1</v>
      </c>
      <c r="H42" s="55"/>
      <c r="I42" s="55"/>
      <c r="J42" s="56"/>
      <c r="K42" s="58"/>
    </row>
    <row r="43" spans="2:11" ht="35" customHeight="1">
      <c r="B43" s="57"/>
      <c r="C43" s="54"/>
      <c r="D43" s="54" t="s">
        <v>188</v>
      </c>
      <c r="E43" s="54" t="s">
        <v>189</v>
      </c>
      <c r="F43" s="55" t="s">
        <v>28</v>
      </c>
      <c r="G43" s="55">
        <v>1</v>
      </c>
      <c r="H43" s="55"/>
      <c r="I43" s="55"/>
      <c r="J43" s="56"/>
      <c r="K43" s="58"/>
    </row>
    <row r="44" spans="2:11" ht="18.75" customHeight="1" thickBot="1">
      <c r="B44" s="75"/>
      <c r="C44" s="76"/>
      <c r="D44" s="76" t="s">
        <v>187</v>
      </c>
      <c r="E44" s="76" t="s">
        <v>285</v>
      </c>
      <c r="F44" s="77" t="s">
        <v>28</v>
      </c>
      <c r="G44" s="77">
        <v>1</v>
      </c>
      <c r="H44" s="77"/>
      <c r="I44" s="77"/>
      <c r="J44" s="78"/>
      <c r="K44" s="79"/>
    </row>
  </sheetData>
  <mergeCells count="22">
    <mergeCell ref="B10:B11"/>
    <mergeCell ref="C10:C11"/>
    <mergeCell ref="D10:D11"/>
    <mergeCell ref="F10:F11"/>
    <mergeCell ref="I8:I9"/>
    <mergeCell ref="B8:B9"/>
    <mergeCell ref="E10:E11"/>
    <mergeCell ref="G10:G11"/>
    <mergeCell ref="H10:H11"/>
    <mergeCell ref="I10:I11"/>
    <mergeCell ref="K10:K11"/>
    <mergeCell ref="J10:J11"/>
    <mergeCell ref="H3:K3"/>
    <mergeCell ref="H5:K5"/>
    <mergeCell ref="K8:K9"/>
    <mergeCell ref="D8:D9"/>
    <mergeCell ref="C8:C9"/>
    <mergeCell ref="F8:F9"/>
    <mergeCell ref="G8:G9"/>
    <mergeCell ref="H8:H9"/>
    <mergeCell ref="E8:E9"/>
    <mergeCell ref="J8: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F7087-D547-4292-9277-9C565610DED9}">
  <dimension ref="B1:E36"/>
  <sheetViews>
    <sheetView tabSelected="1" zoomScale="180" zoomScaleNormal="100" workbookViewId="0">
      <pane ySplit="5" topLeftCell="A6" activePane="bottomLeft" state="frozen"/>
      <selection pane="bottomLeft" activeCell="B1" sqref="B1"/>
    </sheetView>
  </sheetViews>
  <sheetFormatPr baseColWidth="10" defaultColWidth="8.6640625" defaultRowHeight="17.5" customHeight="1"/>
  <cols>
    <col min="1" max="1" width="4.5" style="2" customWidth="1"/>
    <col min="2" max="2" width="25.5" style="3" customWidth="1"/>
    <col min="3" max="3" width="7.83203125" style="4" customWidth="1"/>
    <col min="4" max="4" width="73.83203125" style="5" customWidth="1"/>
    <col min="5" max="5" width="28.5" style="6" customWidth="1"/>
    <col min="6" max="16384" width="8.6640625" style="2"/>
  </cols>
  <sheetData>
    <row r="1" spans="2:5" ht="17.5" customHeight="1">
      <c r="B1" s="14" t="s">
        <v>15</v>
      </c>
      <c r="C1" s="82"/>
      <c r="D1" s="83"/>
      <c r="E1" s="84"/>
    </row>
    <row r="2" spans="2:5" ht="17.5" customHeight="1" thickBot="1">
      <c r="B2" s="14" t="str">
        <f>Price!B2</f>
        <v>55-6360</v>
      </c>
      <c r="C2" s="82"/>
      <c r="D2" s="83"/>
      <c r="E2" s="84"/>
    </row>
    <row r="3" spans="2:5" ht="17.5" customHeight="1" thickBot="1">
      <c r="B3" s="14" t="str">
        <f>Price!B3</f>
        <v>POB &amp; E-Mustering System</v>
      </c>
      <c r="C3" s="82"/>
      <c r="D3" s="80"/>
      <c r="E3" s="81">
        <f>Price!H3</f>
        <v>0</v>
      </c>
    </row>
    <row r="4" spans="2:5" ht="17.5" customHeight="1" thickBot="1">
      <c r="B4" s="14" t="s">
        <v>34</v>
      </c>
      <c r="C4" s="14"/>
      <c r="D4" s="83"/>
      <c r="E4" s="84"/>
    </row>
    <row r="5" spans="2:5" s="1" customFormat="1" ht="29.5" customHeight="1" thickBot="1">
      <c r="B5" s="85" t="s">
        <v>35</v>
      </c>
      <c r="C5" s="86" t="s">
        <v>36</v>
      </c>
      <c r="D5" s="86"/>
      <c r="E5" s="87" t="s">
        <v>37</v>
      </c>
    </row>
    <row r="6" spans="2:5" s="1" customFormat="1" ht="17.5" customHeight="1">
      <c r="B6" s="88" t="s">
        <v>38</v>
      </c>
      <c r="C6" s="89" t="s">
        <v>39</v>
      </c>
      <c r="D6" s="89"/>
      <c r="E6" s="90"/>
    </row>
    <row r="7" spans="2:5" s="1" customFormat="1" ht="17.5" customHeight="1">
      <c r="B7" s="91"/>
      <c r="C7" s="92" t="s">
        <v>40</v>
      </c>
      <c r="D7" s="92"/>
      <c r="E7" s="93"/>
    </row>
    <row r="8" spans="2:5" s="1" customFormat="1" ht="17.5" customHeight="1">
      <c r="B8" s="91"/>
      <c r="C8" s="92" t="s">
        <v>41</v>
      </c>
      <c r="D8" s="92"/>
      <c r="E8" s="93"/>
    </row>
    <row r="9" spans="2:5" s="1" customFormat="1" ht="17.5" customHeight="1" thickBot="1">
      <c r="B9" s="94"/>
      <c r="C9" s="95" t="s">
        <v>42</v>
      </c>
      <c r="D9" s="95"/>
      <c r="E9" s="96"/>
    </row>
    <row r="10" spans="2:5" ht="17.5" customHeight="1">
      <c r="B10" s="97" t="s">
        <v>43</v>
      </c>
      <c r="C10" s="89" t="s">
        <v>44</v>
      </c>
      <c r="D10" s="89"/>
      <c r="E10" s="98"/>
    </row>
    <row r="11" spans="2:5" ht="17.5" customHeight="1">
      <c r="B11" s="99"/>
      <c r="C11" s="100" t="s">
        <v>45</v>
      </c>
      <c r="D11" s="100"/>
      <c r="E11" s="93"/>
    </row>
    <row r="12" spans="2:5" ht="17.5" customHeight="1">
      <c r="B12" s="99"/>
      <c r="C12" s="100" t="s">
        <v>46</v>
      </c>
      <c r="D12" s="100"/>
      <c r="E12" s="93"/>
    </row>
    <row r="13" spans="2:5" ht="17.5" customHeight="1">
      <c r="B13" s="99"/>
      <c r="C13" s="100" t="s">
        <v>47</v>
      </c>
      <c r="D13" s="100"/>
      <c r="E13" s="93"/>
    </row>
    <row r="14" spans="2:5" ht="17.5" customHeight="1">
      <c r="B14" s="99"/>
      <c r="C14" s="100" t="s">
        <v>48</v>
      </c>
      <c r="D14" s="100"/>
      <c r="E14" s="93"/>
    </row>
    <row r="15" spans="2:5" ht="31.5" customHeight="1">
      <c r="B15" s="99"/>
      <c r="C15" s="101" t="s">
        <v>49</v>
      </c>
      <c r="D15" s="101"/>
      <c r="E15" s="102"/>
    </row>
    <row r="16" spans="2:5" ht="31.5" customHeight="1">
      <c r="B16" s="103"/>
      <c r="C16" s="104" t="s">
        <v>50</v>
      </c>
      <c r="D16" s="105"/>
      <c r="E16" s="106"/>
    </row>
    <row r="17" spans="2:5" ht="31.5" customHeight="1" thickBot="1">
      <c r="B17" s="107"/>
      <c r="C17" s="108" t="s">
        <v>51</v>
      </c>
      <c r="D17" s="108"/>
      <c r="E17" s="109"/>
    </row>
    <row r="18" spans="2:5" ht="26.5" customHeight="1">
      <c r="B18" s="97" t="s">
        <v>52</v>
      </c>
      <c r="C18" s="89" t="s">
        <v>53</v>
      </c>
      <c r="D18" s="89"/>
      <c r="E18" s="98"/>
    </row>
    <row r="19" spans="2:5" ht="26.5" customHeight="1">
      <c r="B19" s="99"/>
      <c r="C19" s="101" t="s">
        <v>54</v>
      </c>
      <c r="D19" s="101"/>
      <c r="E19" s="102"/>
    </row>
    <row r="20" spans="2:5" ht="26.5" customHeight="1">
      <c r="B20" s="99"/>
      <c r="C20" s="110" t="s">
        <v>55</v>
      </c>
      <c r="D20" s="110"/>
      <c r="E20" s="111"/>
    </row>
    <row r="21" spans="2:5" ht="120">
      <c r="B21" s="99"/>
      <c r="C21" s="112">
        <v>0.1</v>
      </c>
      <c r="D21" s="54" t="s">
        <v>190</v>
      </c>
      <c r="E21" s="111"/>
    </row>
    <row r="22" spans="2:5" ht="35.5" customHeight="1">
      <c r="B22" s="99"/>
      <c r="C22" s="113">
        <v>0.05</v>
      </c>
      <c r="D22" s="114" t="s">
        <v>191</v>
      </c>
      <c r="E22" s="111"/>
    </row>
    <row r="23" spans="2:5" ht="38" customHeight="1">
      <c r="B23" s="99"/>
      <c r="C23" s="113">
        <v>0.75</v>
      </c>
      <c r="D23" s="114" t="s">
        <v>192</v>
      </c>
      <c r="E23" s="111"/>
    </row>
    <row r="24" spans="2:5" ht="70.5" customHeight="1">
      <c r="B24" s="99"/>
      <c r="C24" s="113">
        <v>0.1</v>
      </c>
      <c r="D24" s="114" t="s">
        <v>193</v>
      </c>
      <c r="E24" s="111"/>
    </row>
    <row r="25" spans="2:5" ht="23.5" customHeight="1" thickBot="1">
      <c r="B25" s="107"/>
      <c r="C25" s="115" t="s">
        <v>56</v>
      </c>
      <c r="D25" s="116"/>
      <c r="E25" s="117"/>
    </row>
    <row r="26" spans="2:5" ht="17.5" customHeight="1">
      <c r="B26" s="118" t="s">
        <v>337</v>
      </c>
      <c r="C26" s="89" t="s">
        <v>57</v>
      </c>
      <c r="D26" s="89"/>
      <c r="E26" s="98"/>
    </row>
    <row r="27" spans="2:5" ht="17.5" customHeight="1">
      <c r="B27" s="119"/>
      <c r="C27" s="101" t="s">
        <v>58</v>
      </c>
      <c r="D27" s="101"/>
      <c r="E27" s="102"/>
    </row>
    <row r="28" spans="2:5" ht="17.5" customHeight="1">
      <c r="B28" s="119"/>
      <c r="C28" s="101" t="s">
        <v>59</v>
      </c>
      <c r="D28" s="101"/>
      <c r="E28" s="102"/>
    </row>
    <row r="29" spans="2:5" ht="17.5" customHeight="1">
      <c r="B29" s="119"/>
      <c r="C29" s="101" t="s">
        <v>60</v>
      </c>
      <c r="D29" s="101"/>
      <c r="E29" s="102"/>
    </row>
    <row r="30" spans="2:5" ht="17.5" customHeight="1" thickBot="1">
      <c r="B30" s="120"/>
      <c r="C30" s="121" t="s">
        <v>61</v>
      </c>
      <c r="D30" s="121"/>
      <c r="E30" s="106"/>
    </row>
    <row r="31" spans="2:5" ht="23.5" customHeight="1">
      <c r="B31" s="88" t="s">
        <v>62</v>
      </c>
      <c r="C31" s="89" t="s">
        <v>63</v>
      </c>
      <c r="D31" s="89"/>
      <c r="E31" s="122"/>
    </row>
    <row r="32" spans="2:5" ht="17.5" customHeight="1" thickBot="1">
      <c r="B32" s="91"/>
      <c r="C32" s="121" t="s">
        <v>64</v>
      </c>
      <c r="D32" s="121"/>
      <c r="E32" s="123"/>
    </row>
    <row r="33" spans="2:5" ht="17.5" customHeight="1">
      <c r="B33" s="88" t="s">
        <v>65</v>
      </c>
      <c r="C33" s="124" t="s">
        <v>66</v>
      </c>
      <c r="D33" s="125"/>
      <c r="E33" s="90"/>
    </row>
    <row r="34" spans="2:5" ht="17.5" customHeight="1">
      <c r="B34" s="91"/>
      <c r="C34" s="126" t="s">
        <v>67</v>
      </c>
      <c r="D34" s="127"/>
      <c r="E34" s="93" t="s">
        <v>68</v>
      </c>
    </row>
    <row r="35" spans="2:5" ht="17.5" customHeight="1">
      <c r="B35" s="91"/>
      <c r="C35" s="126" t="s">
        <v>69</v>
      </c>
      <c r="D35" s="127"/>
      <c r="E35" s="93" t="s">
        <v>68</v>
      </c>
    </row>
    <row r="36" spans="2:5" ht="17.5" customHeight="1" thickBot="1">
      <c r="B36" s="94"/>
      <c r="C36" s="115" t="s">
        <v>70</v>
      </c>
      <c r="D36" s="116"/>
      <c r="E36" s="96"/>
    </row>
  </sheetData>
  <mergeCells count="34">
    <mergeCell ref="B33:B36"/>
    <mergeCell ref="C33:D33"/>
    <mergeCell ref="C34:D34"/>
    <mergeCell ref="C35:D35"/>
    <mergeCell ref="C36:D36"/>
    <mergeCell ref="C5:D5"/>
    <mergeCell ref="B10:B17"/>
    <mergeCell ref="C10:D10"/>
    <mergeCell ref="C11:D11"/>
    <mergeCell ref="C12:D12"/>
    <mergeCell ref="C13:D13"/>
    <mergeCell ref="C14:D14"/>
    <mergeCell ref="C15:D15"/>
    <mergeCell ref="C16:D16"/>
    <mergeCell ref="C17:D17"/>
    <mergeCell ref="B6:B9"/>
    <mergeCell ref="C6:D6"/>
    <mergeCell ref="C7:D7"/>
    <mergeCell ref="C8:D8"/>
    <mergeCell ref="C9:D9"/>
    <mergeCell ref="B31:B32"/>
    <mergeCell ref="C31:D31"/>
    <mergeCell ref="C32:D32"/>
    <mergeCell ref="B18:B25"/>
    <mergeCell ref="C18:D18"/>
    <mergeCell ref="C19:D19"/>
    <mergeCell ref="C20:D20"/>
    <mergeCell ref="B26:B30"/>
    <mergeCell ref="C26:D26"/>
    <mergeCell ref="C27:D27"/>
    <mergeCell ref="C28:D28"/>
    <mergeCell ref="C29:D29"/>
    <mergeCell ref="C30:D30"/>
    <mergeCell ref="C25:D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56C-F23F-4315-88E8-C3FDCCE7E086}">
  <dimension ref="B1:B36"/>
  <sheetViews>
    <sheetView zoomScale="158" workbookViewId="0">
      <selection activeCell="B2" sqref="B2:B3"/>
    </sheetView>
  </sheetViews>
  <sheetFormatPr baseColWidth="10" defaultColWidth="8.6640625" defaultRowHeight="16"/>
  <cols>
    <col min="1" max="16384" width="8.6640625" style="8"/>
  </cols>
  <sheetData>
    <row r="1" spans="2:2">
      <c r="B1" s="14" t="str">
        <f>Price!B1</f>
        <v>Buzios 12</v>
      </c>
    </row>
    <row r="2" spans="2:2">
      <c r="B2" s="14" t="str">
        <f>Price!B2</f>
        <v>55-6360</v>
      </c>
    </row>
    <row r="3" spans="2:2">
      <c r="B3" s="14" t="str">
        <f>Price!B3</f>
        <v>POB &amp; E-Mustering System</v>
      </c>
    </row>
    <row r="4" spans="2:2">
      <c r="B4" s="134" t="s">
        <v>71</v>
      </c>
    </row>
    <row r="5" spans="2:2">
      <c r="B5" s="128" t="s">
        <v>72</v>
      </c>
    </row>
    <row r="6" spans="2:2">
      <c r="B6" s="129" t="s">
        <v>338</v>
      </c>
    </row>
    <row r="7" spans="2:2">
      <c r="B7" s="129" t="s">
        <v>339</v>
      </c>
    </row>
    <row r="8" spans="2:2">
      <c r="B8" s="129" t="s">
        <v>340</v>
      </c>
    </row>
    <row r="9" spans="2:2">
      <c r="B9" s="130"/>
    </row>
    <row r="10" spans="2:2">
      <c r="B10" s="128" t="s">
        <v>73</v>
      </c>
    </row>
    <row r="11" spans="2:2">
      <c r="B11" s="129" t="s">
        <v>341</v>
      </c>
    </row>
    <row r="12" spans="2:2">
      <c r="B12" s="129" t="s">
        <v>342</v>
      </c>
    </row>
    <row r="13" spans="2:2">
      <c r="B13" s="131" t="s">
        <v>74</v>
      </c>
    </row>
    <row r="14" spans="2:2">
      <c r="B14" s="132" t="s">
        <v>343</v>
      </c>
    </row>
    <row r="15" spans="2:2">
      <c r="B15" s="132" t="s">
        <v>344</v>
      </c>
    </row>
    <row r="16" spans="2:2">
      <c r="B16" s="132" t="s">
        <v>345</v>
      </c>
    </row>
    <row r="17" spans="2:2">
      <c r="B17" s="132" t="s">
        <v>346</v>
      </c>
    </row>
    <row r="18" spans="2:2">
      <c r="B18" s="133" t="s">
        <v>347</v>
      </c>
    </row>
    <row r="19" spans="2:2">
      <c r="B19" s="132" t="s">
        <v>348</v>
      </c>
    </row>
    <row r="20" spans="2:2">
      <c r="B20" s="132" t="s">
        <v>349</v>
      </c>
    </row>
    <row r="21" spans="2:2">
      <c r="B21" s="132" t="s">
        <v>350</v>
      </c>
    </row>
    <row r="22" spans="2:2">
      <c r="B22" s="132" t="s">
        <v>351</v>
      </c>
    </row>
    <row r="23" spans="2:2">
      <c r="B23" s="132" t="s">
        <v>352</v>
      </c>
    </row>
    <row r="24" spans="2:2">
      <c r="B24" s="132" t="s">
        <v>353</v>
      </c>
    </row>
    <row r="25" spans="2:2">
      <c r="B25" s="132" t="s">
        <v>354</v>
      </c>
    </row>
    <row r="26" spans="2:2">
      <c r="B26" s="132" t="s">
        <v>355</v>
      </c>
    </row>
    <row r="27" spans="2:2">
      <c r="B27" s="129"/>
    </row>
    <row r="28" spans="2:2">
      <c r="B28" s="129" t="s">
        <v>356</v>
      </c>
    </row>
    <row r="29" spans="2:2">
      <c r="B29" s="129" t="s">
        <v>357</v>
      </c>
    </row>
    <row r="30" spans="2:2">
      <c r="B30" s="129" t="s">
        <v>358</v>
      </c>
    </row>
    <row r="31" spans="2:2">
      <c r="B31" s="129" t="s">
        <v>359</v>
      </c>
    </row>
    <row r="32" spans="2:2">
      <c r="B32" s="129" t="s">
        <v>360</v>
      </c>
    </row>
    <row r="33" spans="2:2">
      <c r="B33" s="129" t="s">
        <v>361</v>
      </c>
    </row>
    <row r="34" spans="2:2">
      <c r="B34" s="129" t="s">
        <v>362</v>
      </c>
    </row>
    <row r="35" spans="2:2">
      <c r="B35" s="130"/>
    </row>
    <row r="36" spans="2:2">
      <c r="B36" s="1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B474A-3A07-4D36-A8CF-8B646E719314}">
  <dimension ref="B1:B5"/>
  <sheetViews>
    <sheetView zoomScale="150" workbookViewId="0">
      <selection activeCell="I19" sqref="I19"/>
    </sheetView>
  </sheetViews>
  <sheetFormatPr baseColWidth="10" defaultColWidth="8.6640625" defaultRowHeight="15"/>
  <cols>
    <col min="1" max="16384" width="8.6640625" style="7"/>
  </cols>
  <sheetData>
    <row r="1" spans="2:2">
      <c r="B1" s="14" t="str">
        <f>Price!B1</f>
        <v>Buzios 12</v>
      </c>
    </row>
    <row r="2" spans="2:2">
      <c r="B2" s="14" t="str">
        <f>Price!B2</f>
        <v>55-6360</v>
      </c>
    </row>
    <row r="3" spans="2:2">
      <c r="B3" s="14" t="str">
        <f>Price!B3</f>
        <v>POB &amp; E-Mustering System</v>
      </c>
    </row>
    <row r="4" spans="2:2">
      <c r="B4" s="15"/>
    </row>
    <row r="5" spans="2:2">
      <c r="B5" s="16" t="s">
        <v>183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2494-D68E-47D2-99E6-3BC7C4E7CA95}">
  <dimension ref="B1:D193"/>
  <sheetViews>
    <sheetView zoomScale="167" workbookViewId="0">
      <selection activeCell="G25" sqref="G25"/>
    </sheetView>
  </sheetViews>
  <sheetFormatPr baseColWidth="10" defaultColWidth="9.1640625" defaultRowHeight="15"/>
  <cols>
    <col min="1" max="1" width="9.1640625" style="7"/>
    <col min="2" max="2" width="13.83203125" style="7" bestFit="1" customWidth="1"/>
    <col min="3" max="3" width="24" style="7" bestFit="1" customWidth="1"/>
    <col min="4" max="4" width="32.33203125" style="7" bestFit="1" customWidth="1"/>
    <col min="5" max="5" width="11.83203125" style="7" bestFit="1" customWidth="1"/>
    <col min="6" max="16384" width="9.1640625" style="7"/>
  </cols>
  <sheetData>
    <row r="1" spans="2:4">
      <c r="B1" s="14" t="str">
        <f>Price!B1</f>
        <v>Buzios 12</v>
      </c>
      <c r="C1" s="15"/>
      <c r="D1" s="15"/>
    </row>
    <row r="2" spans="2:4">
      <c r="B2" s="14" t="str">
        <f>Price!B2</f>
        <v>55-6360</v>
      </c>
      <c r="C2" s="15"/>
      <c r="D2" s="15"/>
    </row>
    <row r="3" spans="2:4">
      <c r="B3" s="14" t="str">
        <f>Price!B3</f>
        <v>POB &amp; E-Mustering System</v>
      </c>
      <c r="C3" s="15"/>
      <c r="D3" s="15"/>
    </row>
    <row r="4" spans="2:4" ht="16" thickBot="1">
      <c r="B4" s="15"/>
      <c r="C4" s="15"/>
      <c r="D4" s="15" t="s">
        <v>75</v>
      </c>
    </row>
    <row r="5" spans="2:4">
      <c r="B5" s="139" t="s">
        <v>76</v>
      </c>
      <c r="C5" s="139" t="s">
        <v>77</v>
      </c>
      <c r="D5" s="139" t="s">
        <v>78</v>
      </c>
    </row>
    <row r="6" spans="2:4" ht="16" thickBot="1">
      <c r="B6" s="140"/>
      <c r="C6" s="140"/>
      <c r="D6" s="140"/>
    </row>
    <row r="7" spans="2:4">
      <c r="B7" s="141" t="s">
        <v>79</v>
      </c>
      <c r="C7" s="142" t="s">
        <v>80</v>
      </c>
      <c r="D7" s="143" t="s">
        <v>80</v>
      </c>
    </row>
    <row r="8" spans="2:4">
      <c r="B8" s="144"/>
      <c r="C8" s="145" t="s">
        <v>81</v>
      </c>
      <c r="D8" s="146" t="s">
        <v>82</v>
      </c>
    </row>
    <row r="9" spans="2:4" ht="16" thickBot="1">
      <c r="B9" s="147"/>
      <c r="C9" s="148" t="s">
        <v>83</v>
      </c>
      <c r="D9" s="149" t="s">
        <v>81</v>
      </c>
    </row>
    <row r="10" spans="2:4" ht="16" thickBot="1">
      <c r="B10" s="150"/>
      <c r="C10" s="150"/>
      <c r="D10" s="151"/>
    </row>
    <row r="11" spans="2:4">
      <c r="B11" s="152" t="s">
        <v>84</v>
      </c>
      <c r="C11" s="153" t="s">
        <v>85</v>
      </c>
      <c r="D11" s="143" t="s">
        <v>86</v>
      </c>
    </row>
    <row r="12" spans="2:4">
      <c r="B12" s="154"/>
      <c r="C12" s="155" t="s">
        <v>87</v>
      </c>
      <c r="D12" s="146" t="s">
        <v>88</v>
      </c>
    </row>
    <row r="13" spans="2:4">
      <c r="B13" s="154"/>
      <c r="C13" s="155" t="s">
        <v>89</v>
      </c>
      <c r="D13" s="135"/>
    </row>
    <row r="14" spans="2:4" ht="16" thickBot="1">
      <c r="B14" s="156"/>
      <c r="C14" s="157"/>
      <c r="D14" s="158"/>
    </row>
    <row r="15" spans="2:4" ht="16" thickBot="1">
      <c r="B15" s="150"/>
      <c r="C15" s="150"/>
      <c r="D15" s="15"/>
    </row>
    <row r="16" spans="2:4">
      <c r="B16" s="152" t="s">
        <v>90</v>
      </c>
      <c r="C16" s="153" t="s">
        <v>91</v>
      </c>
      <c r="D16" s="143" t="s">
        <v>91</v>
      </c>
    </row>
    <row r="17" spans="2:4">
      <c r="B17" s="154"/>
      <c r="C17" s="155" t="s">
        <v>92</v>
      </c>
      <c r="D17" s="146" t="s">
        <v>93</v>
      </c>
    </row>
    <row r="18" spans="2:4" ht="16" thickBot="1">
      <c r="B18" s="156"/>
      <c r="C18" s="157" t="s">
        <v>93</v>
      </c>
      <c r="D18" s="136"/>
    </row>
    <row r="19" spans="2:4" ht="16" thickBot="1">
      <c r="B19" s="150"/>
      <c r="C19" s="150"/>
      <c r="D19" s="151"/>
    </row>
    <row r="20" spans="2:4">
      <c r="B20" s="152" t="s">
        <v>94</v>
      </c>
      <c r="C20" s="153" t="s">
        <v>95</v>
      </c>
      <c r="D20" s="143" t="s">
        <v>95</v>
      </c>
    </row>
    <row r="21" spans="2:4">
      <c r="B21" s="154"/>
      <c r="C21" s="155" t="s">
        <v>96</v>
      </c>
      <c r="D21" s="146" t="s">
        <v>97</v>
      </c>
    </row>
    <row r="22" spans="2:4">
      <c r="B22" s="154"/>
      <c r="C22" s="155" t="s">
        <v>98</v>
      </c>
      <c r="D22" s="146" t="s">
        <v>98</v>
      </c>
    </row>
    <row r="23" spans="2:4">
      <c r="B23" s="159"/>
      <c r="C23" s="155" t="s">
        <v>99</v>
      </c>
      <c r="D23" s="146" t="s">
        <v>100</v>
      </c>
    </row>
    <row r="24" spans="2:4" ht="16" thickBot="1">
      <c r="B24" s="137"/>
      <c r="C24" s="138"/>
      <c r="D24" s="160" t="s">
        <v>101</v>
      </c>
    </row>
    <row r="25" spans="2:4" ht="16" thickBot="1">
      <c r="B25" s="15"/>
      <c r="C25" s="15"/>
      <c r="D25" s="151"/>
    </row>
    <row r="26" spans="2:4" ht="16" thickBot="1">
      <c r="B26" s="161" t="s">
        <v>102</v>
      </c>
      <c r="C26" s="162" t="s">
        <v>103</v>
      </c>
      <c r="D26" s="163" t="s">
        <v>104</v>
      </c>
    </row>
    <row r="27" spans="2:4" ht="16" thickBot="1">
      <c r="B27" s="150"/>
      <c r="C27" s="150"/>
      <c r="D27" s="15"/>
    </row>
    <row r="28" spans="2:4">
      <c r="B28" s="152" t="s">
        <v>105</v>
      </c>
      <c r="C28" s="153" t="s">
        <v>106</v>
      </c>
      <c r="D28" s="143" t="s">
        <v>107</v>
      </c>
    </row>
    <row r="29" spans="2:4" ht="16" thickBot="1">
      <c r="B29" s="156"/>
      <c r="C29" s="148"/>
      <c r="D29" s="149" t="s">
        <v>108</v>
      </c>
    </row>
    <row r="30" spans="2:4" ht="16" thickBot="1">
      <c r="B30" s="150"/>
      <c r="C30" s="150"/>
      <c r="D30" s="151"/>
    </row>
    <row r="31" spans="2:4" ht="16" thickBot="1">
      <c r="B31" s="161" t="s">
        <v>109</v>
      </c>
      <c r="C31" s="162" t="s">
        <v>110</v>
      </c>
      <c r="D31" s="164" t="s">
        <v>110</v>
      </c>
    </row>
    <row r="32" spans="2:4" ht="16" thickBot="1">
      <c r="B32" s="150"/>
      <c r="C32" s="150"/>
      <c r="D32" s="151"/>
    </row>
    <row r="33" spans="2:4" ht="16" thickBot="1">
      <c r="B33" s="161" t="s">
        <v>111</v>
      </c>
      <c r="C33" s="162" t="s">
        <v>112</v>
      </c>
      <c r="D33" s="164" t="s">
        <v>113</v>
      </c>
    </row>
    <row r="34" spans="2:4" ht="16" thickBot="1">
      <c r="B34" s="150"/>
      <c r="C34" s="150"/>
      <c r="D34" s="151"/>
    </row>
    <row r="35" spans="2:4">
      <c r="B35" s="152" t="s">
        <v>114</v>
      </c>
      <c r="C35" s="153" t="s">
        <v>115</v>
      </c>
      <c r="D35" s="143" t="s">
        <v>116</v>
      </c>
    </row>
    <row r="36" spans="2:4">
      <c r="B36" s="154"/>
      <c r="C36" s="155" t="s">
        <v>116</v>
      </c>
      <c r="D36" s="135"/>
    </row>
    <row r="37" spans="2:4" ht="16" thickBot="1">
      <c r="B37" s="156"/>
      <c r="C37" s="157" t="s">
        <v>117</v>
      </c>
      <c r="D37" s="136"/>
    </row>
    <row r="38" spans="2:4" ht="16" thickBot="1">
      <c r="B38" s="150"/>
      <c r="C38" s="150"/>
      <c r="D38" s="151"/>
    </row>
    <row r="39" spans="2:4" ht="16" thickBot="1">
      <c r="B39" s="161" t="s">
        <v>118</v>
      </c>
      <c r="C39" s="165" t="s">
        <v>119</v>
      </c>
      <c r="D39" s="164" t="s">
        <v>120</v>
      </c>
    </row>
    <row r="40" spans="2:4" ht="16" thickBot="1">
      <c r="B40" s="150"/>
      <c r="C40" s="150"/>
      <c r="D40" s="151"/>
    </row>
    <row r="41" spans="2:4" ht="30">
      <c r="B41" s="152" t="s">
        <v>121</v>
      </c>
      <c r="C41" s="153" t="s">
        <v>122</v>
      </c>
      <c r="D41" s="166" t="s">
        <v>123</v>
      </c>
    </row>
    <row r="42" spans="2:4">
      <c r="B42" s="154"/>
      <c r="C42" s="155" t="s">
        <v>124</v>
      </c>
      <c r="D42" s="167" t="s">
        <v>125</v>
      </c>
    </row>
    <row r="43" spans="2:4" ht="16" thickBot="1">
      <c r="B43" s="156"/>
      <c r="C43" s="157" t="s">
        <v>126</v>
      </c>
      <c r="D43" s="149"/>
    </row>
    <row r="44" spans="2:4" ht="16" thickBot="1">
      <c r="B44" s="150"/>
      <c r="C44" s="150"/>
      <c r="D44" s="151"/>
    </row>
    <row r="45" spans="2:4" ht="16" thickBot="1">
      <c r="B45" s="161" t="s">
        <v>127</v>
      </c>
      <c r="C45" s="165" t="s">
        <v>128</v>
      </c>
      <c r="D45" s="164" t="s">
        <v>128</v>
      </c>
    </row>
    <row r="46" spans="2:4" ht="16" thickBot="1">
      <c r="B46" s="150"/>
      <c r="C46" s="150"/>
      <c r="D46" s="15"/>
    </row>
    <row r="47" spans="2:4" ht="30">
      <c r="B47" s="152" t="s">
        <v>129</v>
      </c>
      <c r="C47" s="153" t="s">
        <v>130</v>
      </c>
      <c r="D47" s="166" t="s">
        <v>131</v>
      </c>
    </row>
    <row r="48" spans="2:4" ht="16" thickBot="1">
      <c r="B48" s="156"/>
      <c r="C48" s="157" t="s">
        <v>132</v>
      </c>
      <c r="D48" s="149"/>
    </row>
    <row r="49" spans="2:4" ht="16" thickBot="1">
      <c r="B49" s="150"/>
      <c r="C49" s="150"/>
      <c r="D49" s="151"/>
    </row>
    <row r="50" spans="2:4">
      <c r="B50" s="152" t="s">
        <v>133</v>
      </c>
      <c r="C50" s="168" t="s">
        <v>134</v>
      </c>
      <c r="D50" s="166" t="s">
        <v>135</v>
      </c>
    </row>
    <row r="51" spans="2:4">
      <c r="B51" s="154"/>
      <c r="C51" s="169" t="s">
        <v>136</v>
      </c>
      <c r="D51" s="146"/>
    </row>
    <row r="52" spans="2:4" ht="16" thickBot="1">
      <c r="B52" s="156"/>
      <c r="C52" s="170" t="s">
        <v>137</v>
      </c>
      <c r="D52" s="136"/>
    </row>
    <row r="53" spans="2:4" ht="16" thickBot="1">
      <c r="B53" s="150"/>
      <c r="C53" s="150"/>
      <c r="D53" s="15"/>
    </row>
    <row r="54" spans="2:4" ht="16" thickBot="1">
      <c r="B54" s="161" t="s">
        <v>138</v>
      </c>
      <c r="C54" s="165" t="s">
        <v>139</v>
      </c>
      <c r="D54" s="163" t="s">
        <v>140</v>
      </c>
    </row>
    <row r="55" spans="2:4" ht="16" thickBot="1">
      <c r="B55" s="150"/>
      <c r="C55" s="151"/>
      <c r="D55" s="171"/>
    </row>
    <row r="56" spans="2:4" ht="16" thickBot="1">
      <c r="B56" s="161" t="s">
        <v>141</v>
      </c>
      <c r="C56" s="165" t="s">
        <v>142</v>
      </c>
      <c r="D56" s="164" t="s">
        <v>143</v>
      </c>
    </row>
    <row r="57" spans="2:4" ht="15" customHeight="1" thickBot="1">
      <c r="B57" s="150"/>
      <c r="C57" s="150"/>
      <c r="D57" s="151"/>
    </row>
    <row r="58" spans="2:4" ht="15" customHeight="1" thickBot="1">
      <c r="B58" s="161" t="s">
        <v>144</v>
      </c>
      <c r="C58" s="165" t="s">
        <v>145</v>
      </c>
      <c r="D58" s="164" t="s">
        <v>146</v>
      </c>
    </row>
    <row r="59" spans="2:4" ht="16" thickBot="1">
      <c r="B59" s="150"/>
      <c r="C59" s="150"/>
      <c r="D59" s="151"/>
    </row>
    <row r="60" spans="2:4" ht="16" thickBot="1">
      <c r="B60" s="161" t="s">
        <v>147</v>
      </c>
      <c r="C60" s="165" t="s">
        <v>148</v>
      </c>
      <c r="D60" s="164" t="s">
        <v>149</v>
      </c>
    </row>
    <row r="61" spans="2:4" ht="16" thickBot="1">
      <c r="B61" s="150"/>
      <c r="C61" s="150"/>
      <c r="D61" s="15"/>
    </row>
    <row r="62" spans="2:4">
      <c r="B62" s="152" t="s">
        <v>150</v>
      </c>
      <c r="C62" s="153" t="s">
        <v>151</v>
      </c>
      <c r="D62" s="166" t="s">
        <v>151</v>
      </c>
    </row>
    <row r="63" spans="2:4" ht="16" thickBot="1">
      <c r="B63" s="156"/>
      <c r="C63" s="157" t="s">
        <v>152</v>
      </c>
      <c r="D63" s="172" t="s">
        <v>152</v>
      </c>
    </row>
    <row r="64" spans="2:4" ht="16" thickBot="1">
      <c r="B64" s="150"/>
      <c r="C64" s="150"/>
      <c r="D64" s="151"/>
    </row>
    <row r="65" spans="2:4" ht="16" thickBot="1">
      <c r="B65" s="161" t="s">
        <v>153</v>
      </c>
      <c r="C65" s="165" t="s">
        <v>154</v>
      </c>
      <c r="D65" s="164" t="s">
        <v>155</v>
      </c>
    </row>
    <row r="66" spans="2:4" ht="15" customHeight="1" thickBot="1">
      <c r="B66" s="150"/>
      <c r="C66" s="150"/>
      <c r="D66" s="151"/>
    </row>
    <row r="67" spans="2:4" ht="16" thickBot="1">
      <c r="B67" s="161" t="s">
        <v>156</v>
      </c>
      <c r="C67" s="165" t="s">
        <v>157</v>
      </c>
      <c r="D67" s="164" t="s">
        <v>157</v>
      </c>
    </row>
    <row r="68" spans="2:4" ht="16" thickBot="1">
      <c r="B68" s="150"/>
      <c r="C68" s="150"/>
      <c r="D68" s="15"/>
    </row>
    <row r="69" spans="2:4" ht="15" customHeight="1" thickBot="1">
      <c r="B69" s="161" t="s">
        <v>158</v>
      </c>
      <c r="C69" s="165" t="s">
        <v>159</v>
      </c>
      <c r="D69" s="164" t="s">
        <v>159</v>
      </c>
    </row>
    <row r="70" spans="2:4" ht="16" thickBot="1">
      <c r="B70" s="150"/>
      <c r="C70" s="151"/>
      <c r="D70" s="151"/>
    </row>
    <row r="71" spans="2:4" ht="31" thickBot="1">
      <c r="B71" s="161" t="s">
        <v>160</v>
      </c>
      <c r="C71" s="165" t="s">
        <v>161</v>
      </c>
      <c r="D71" s="163" t="s">
        <v>162</v>
      </c>
    </row>
    <row r="72" spans="2:4" ht="15" customHeight="1" thickBot="1">
      <c r="B72" s="150"/>
      <c r="C72" s="151"/>
      <c r="D72" s="151"/>
    </row>
    <row r="73" spans="2:4" ht="16" thickBot="1">
      <c r="B73" s="161" t="s">
        <v>163</v>
      </c>
      <c r="C73" s="165" t="s">
        <v>164</v>
      </c>
      <c r="D73" s="163" t="s">
        <v>165</v>
      </c>
    </row>
    <row r="74" spans="2:4" ht="16" thickBot="1">
      <c r="B74" s="150"/>
      <c r="C74" s="151"/>
      <c r="D74" s="151"/>
    </row>
    <row r="75" spans="2:4" ht="15" customHeight="1">
      <c r="B75" s="152" t="s">
        <v>166</v>
      </c>
      <c r="C75" s="153" t="s">
        <v>167</v>
      </c>
      <c r="D75" s="166" t="s">
        <v>168</v>
      </c>
    </row>
    <row r="76" spans="2:4" ht="15" customHeight="1">
      <c r="B76" s="154"/>
      <c r="C76" s="155" t="s">
        <v>169</v>
      </c>
      <c r="D76" s="146" t="s">
        <v>170</v>
      </c>
    </row>
    <row r="77" spans="2:4" ht="15" customHeight="1" thickBot="1">
      <c r="B77" s="156"/>
      <c r="C77" s="157" t="s">
        <v>170</v>
      </c>
      <c r="D77" s="136"/>
    </row>
    <row r="78" spans="2:4" ht="14.5" customHeight="1" thickBot="1">
      <c r="B78" s="150"/>
      <c r="C78" s="150"/>
      <c r="D78" s="151"/>
    </row>
    <row r="79" spans="2:4" ht="45">
      <c r="B79" s="173" t="s">
        <v>171</v>
      </c>
      <c r="C79" s="153" t="s">
        <v>172</v>
      </c>
      <c r="D79" s="166" t="s">
        <v>173</v>
      </c>
    </row>
    <row r="80" spans="2:4" ht="15" customHeight="1" thickBot="1">
      <c r="B80" s="174"/>
      <c r="C80" s="157" t="s">
        <v>174</v>
      </c>
      <c r="D80" s="136"/>
    </row>
    <row r="81" spans="2:4" ht="14.5" customHeight="1" thickBot="1">
      <c r="B81" s="150"/>
      <c r="C81" s="150"/>
      <c r="D81" s="151"/>
    </row>
    <row r="82" spans="2:4" ht="45">
      <c r="B82" s="173" t="s">
        <v>175</v>
      </c>
      <c r="C82" s="153" t="s">
        <v>176</v>
      </c>
      <c r="D82" s="166" t="s">
        <v>177</v>
      </c>
    </row>
    <row r="83" spans="2:4" ht="15" customHeight="1" thickBot="1">
      <c r="B83" s="174"/>
      <c r="C83" s="157" t="s">
        <v>178</v>
      </c>
      <c r="D83" s="149"/>
    </row>
    <row r="84" spans="2:4" ht="14.5" customHeight="1" thickBot="1">
      <c r="B84" s="150"/>
      <c r="C84" s="150"/>
      <c r="D84" s="151"/>
    </row>
    <row r="85" spans="2:4" ht="45">
      <c r="B85" s="173" t="s">
        <v>179</v>
      </c>
      <c r="C85" s="153" t="s">
        <v>180</v>
      </c>
      <c r="D85" s="166" t="s">
        <v>181</v>
      </c>
    </row>
    <row r="86" spans="2:4" ht="16" thickBot="1">
      <c r="B86" s="174"/>
      <c r="C86" s="157" t="s">
        <v>182</v>
      </c>
      <c r="D86" s="136"/>
    </row>
    <row r="87" spans="2:4">
      <c r="B87" s="15"/>
      <c r="C87" s="15"/>
      <c r="D87" s="15"/>
    </row>
    <row r="88" spans="2:4">
      <c r="B88" s="15"/>
      <c r="C88" s="15"/>
      <c r="D88" s="15"/>
    </row>
    <row r="89" spans="2:4">
      <c r="B89" s="15"/>
      <c r="C89" s="15"/>
      <c r="D89" s="15"/>
    </row>
    <row r="90" spans="2:4">
      <c r="B90" s="15"/>
      <c r="C90" s="15"/>
      <c r="D90" s="15"/>
    </row>
    <row r="91" spans="2:4">
      <c r="B91" s="15"/>
      <c r="C91" s="15"/>
      <c r="D91" s="15"/>
    </row>
    <row r="92" spans="2:4">
      <c r="B92" s="15"/>
      <c r="C92" s="15"/>
      <c r="D92" s="15"/>
    </row>
    <row r="93" spans="2:4" ht="15" customHeight="1">
      <c r="B93" s="15"/>
      <c r="C93" s="15"/>
      <c r="D93" s="15"/>
    </row>
    <row r="94" spans="2:4">
      <c r="B94" s="15"/>
      <c r="C94" s="15"/>
      <c r="D94" s="15"/>
    </row>
    <row r="95" spans="2:4">
      <c r="B95" s="15"/>
      <c r="C95" s="15"/>
      <c r="D95" s="15"/>
    </row>
    <row r="96" spans="2:4">
      <c r="B96" s="15"/>
      <c r="C96" s="15"/>
      <c r="D96" s="15"/>
    </row>
    <row r="97" spans="2:4">
      <c r="B97" s="15"/>
      <c r="C97" s="15"/>
      <c r="D97" s="15"/>
    </row>
    <row r="98" spans="2:4">
      <c r="B98" s="15"/>
      <c r="C98" s="15"/>
      <c r="D98" s="15"/>
    </row>
    <row r="99" spans="2:4">
      <c r="B99" s="15"/>
      <c r="C99" s="15"/>
      <c r="D99" s="15"/>
    </row>
    <row r="100" spans="2:4">
      <c r="B100" s="15"/>
      <c r="C100" s="15"/>
      <c r="D100" s="15"/>
    </row>
    <row r="101" spans="2:4">
      <c r="B101" s="15"/>
      <c r="C101" s="15"/>
      <c r="D101" s="15"/>
    </row>
    <row r="102" spans="2:4">
      <c r="B102" s="15"/>
      <c r="C102" s="15"/>
      <c r="D102" s="15"/>
    </row>
    <row r="103" spans="2:4">
      <c r="B103" s="15"/>
      <c r="C103" s="15"/>
      <c r="D103" s="15"/>
    </row>
    <row r="104" spans="2:4">
      <c r="B104" s="15"/>
      <c r="C104" s="15"/>
      <c r="D104" s="15"/>
    </row>
    <row r="105" spans="2:4">
      <c r="B105" s="15"/>
      <c r="C105" s="15"/>
      <c r="D105" s="15"/>
    </row>
    <row r="106" spans="2:4">
      <c r="B106" s="15"/>
      <c r="C106" s="15"/>
      <c r="D106" s="15"/>
    </row>
    <row r="107" spans="2:4">
      <c r="B107" s="15"/>
      <c r="C107" s="15"/>
      <c r="D107" s="15"/>
    </row>
    <row r="108" spans="2:4" ht="15" customHeight="1">
      <c r="B108" s="15"/>
      <c r="C108" s="15"/>
      <c r="D108" s="15"/>
    </row>
    <row r="109" spans="2:4">
      <c r="B109" s="15"/>
      <c r="C109" s="15"/>
      <c r="D109" s="15"/>
    </row>
    <row r="110" spans="2:4">
      <c r="B110" s="15"/>
      <c r="C110" s="15"/>
      <c r="D110" s="15"/>
    </row>
    <row r="111" spans="2:4">
      <c r="B111" s="15"/>
      <c r="C111" s="15"/>
      <c r="D111" s="15"/>
    </row>
    <row r="112" spans="2:4">
      <c r="B112" s="15"/>
      <c r="C112" s="15"/>
      <c r="D112" s="15"/>
    </row>
    <row r="113" spans="2:4" ht="15" customHeight="1">
      <c r="B113" s="15"/>
      <c r="C113" s="15"/>
      <c r="D113" s="15"/>
    </row>
    <row r="114" spans="2:4">
      <c r="B114" s="15"/>
      <c r="C114" s="15"/>
      <c r="D114" s="15"/>
    </row>
    <row r="115" spans="2:4">
      <c r="B115" s="15"/>
      <c r="C115" s="15"/>
      <c r="D115" s="15"/>
    </row>
    <row r="116" spans="2:4">
      <c r="B116" s="15"/>
      <c r="C116" s="15"/>
      <c r="D116" s="15"/>
    </row>
    <row r="117" spans="2:4" ht="15" customHeight="1">
      <c r="B117" s="15"/>
      <c r="C117" s="15"/>
      <c r="D117" s="15"/>
    </row>
    <row r="118" spans="2:4">
      <c r="B118" s="15"/>
      <c r="C118" s="15"/>
      <c r="D118" s="15"/>
    </row>
    <row r="119" spans="2:4">
      <c r="B119" s="15"/>
      <c r="C119" s="15"/>
      <c r="D119" s="15"/>
    </row>
    <row r="120" spans="2:4">
      <c r="B120" s="15"/>
      <c r="C120" s="15"/>
      <c r="D120" s="15"/>
    </row>
    <row r="121" spans="2:4">
      <c r="B121" s="15"/>
      <c r="C121" s="15"/>
      <c r="D121" s="15"/>
    </row>
    <row r="122" spans="2:4">
      <c r="B122" s="15"/>
      <c r="C122" s="15"/>
      <c r="D122" s="15"/>
    </row>
    <row r="123" spans="2:4" ht="15" customHeight="1">
      <c r="B123" s="15"/>
      <c r="C123" s="15"/>
      <c r="D123" s="15"/>
    </row>
    <row r="124" spans="2:4">
      <c r="B124" s="15"/>
      <c r="C124" s="15"/>
      <c r="D124" s="15"/>
    </row>
    <row r="125" spans="2:4">
      <c r="B125" s="15"/>
      <c r="C125" s="15"/>
      <c r="D125" s="15"/>
    </row>
    <row r="126" spans="2:4">
      <c r="B126" s="15"/>
      <c r="C126" s="15"/>
      <c r="D126" s="15"/>
    </row>
    <row r="127" spans="2:4">
      <c r="B127" s="15"/>
      <c r="C127" s="15"/>
      <c r="D127" s="15"/>
    </row>
    <row r="128" spans="2:4">
      <c r="B128" s="15"/>
      <c r="C128" s="15"/>
      <c r="D128" s="15"/>
    </row>
    <row r="129" spans="2:4" ht="15" customHeight="1">
      <c r="B129" s="15"/>
      <c r="C129" s="15"/>
      <c r="D129" s="15"/>
    </row>
    <row r="130" spans="2:4">
      <c r="B130" s="15"/>
      <c r="C130" s="15"/>
      <c r="D130" s="15"/>
    </row>
    <row r="131" spans="2:4">
      <c r="B131" s="15"/>
      <c r="C131" s="15"/>
      <c r="D131" s="15"/>
    </row>
    <row r="132" spans="2:4">
      <c r="B132" s="15"/>
      <c r="C132" s="15"/>
      <c r="D132" s="15"/>
    </row>
    <row r="133" spans="2:4">
      <c r="B133" s="15"/>
      <c r="C133" s="15"/>
      <c r="D133" s="15"/>
    </row>
    <row r="134" spans="2:4">
      <c r="B134" s="15"/>
      <c r="C134" s="15"/>
      <c r="D134" s="15"/>
    </row>
    <row r="135" spans="2:4" ht="15" customHeight="1">
      <c r="B135" s="15"/>
      <c r="C135" s="15"/>
      <c r="D135" s="15"/>
    </row>
    <row r="136" spans="2:4">
      <c r="B136" s="15"/>
      <c r="C136" s="15"/>
      <c r="D136" s="15"/>
    </row>
    <row r="137" spans="2:4">
      <c r="B137" s="15"/>
      <c r="C137" s="15"/>
      <c r="D137" s="15"/>
    </row>
    <row r="138" spans="2:4">
      <c r="B138" s="15"/>
      <c r="C138" s="15"/>
      <c r="D138" s="15"/>
    </row>
    <row r="139" spans="2:4">
      <c r="B139" s="15"/>
      <c r="C139" s="15"/>
      <c r="D139" s="15"/>
    </row>
    <row r="140" spans="2:4">
      <c r="B140" s="15"/>
      <c r="C140" s="15"/>
      <c r="D140" s="15"/>
    </row>
    <row r="141" spans="2:4">
      <c r="B141" s="15"/>
      <c r="C141" s="15"/>
      <c r="D141" s="15"/>
    </row>
    <row r="142" spans="2:4">
      <c r="B142" s="15"/>
      <c r="C142" s="15"/>
      <c r="D142" s="15"/>
    </row>
    <row r="143" spans="2:4">
      <c r="B143" s="15"/>
      <c r="C143" s="15"/>
      <c r="D143" s="15"/>
    </row>
    <row r="144" spans="2:4">
      <c r="B144" s="15"/>
      <c r="C144" s="15"/>
      <c r="D144" s="15"/>
    </row>
    <row r="145" spans="2:4">
      <c r="B145" s="15"/>
      <c r="C145" s="15"/>
      <c r="D145" s="15"/>
    </row>
    <row r="146" spans="2:4">
      <c r="B146" s="15"/>
      <c r="C146" s="15"/>
      <c r="D146" s="15"/>
    </row>
    <row r="147" spans="2:4">
      <c r="B147" s="15"/>
      <c r="C147" s="15"/>
      <c r="D147" s="15"/>
    </row>
    <row r="148" spans="2:4">
      <c r="B148" s="15"/>
      <c r="C148" s="15"/>
      <c r="D148" s="15"/>
    </row>
    <row r="149" spans="2:4">
      <c r="B149" s="15"/>
      <c r="C149" s="15"/>
      <c r="D149" s="15"/>
    </row>
    <row r="150" spans="2:4">
      <c r="B150" s="15"/>
      <c r="C150" s="15"/>
      <c r="D150" s="15"/>
    </row>
    <row r="151" spans="2:4">
      <c r="B151" s="15"/>
      <c r="C151" s="15"/>
      <c r="D151" s="15"/>
    </row>
    <row r="152" spans="2:4">
      <c r="B152" s="15"/>
      <c r="C152" s="15"/>
      <c r="D152" s="15"/>
    </row>
    <row r="153" spans="2:4">
      <c r="B153" s="15"/>
      <c r="C153" s="15"/>
      <c r="D153" s="15"/>
    </row>
    <row r="154" spans="2:4">
      <c r="B154" s="15"/>
      <c r="C154" s="15"/>
      <c r="D154" s="15"/>
    </row>
    <row r="155" spans="2:4">
      <c r="B155" s="15"/>
      <c r="C155" s="15"/>
      <c r="D155" s="15"/>
    </row>
    <row r="156" spans="2:4">
      <c r="B156" s="15"/>
      <c r="C156" s="15"/>
      <c r="D156" s="15"/>
    </row>
    <row r="157" spans="2:4">
      <c r="B157" s="15"/>
      <c r="C157" s="15"/>
      <c r="D157" s="15"/>
    </row>
    <row r="158" spans="2:4">
      <c r="B158" s="15"/>
      <c r="C158" s="15"/>
      <c r="D158" s="15"/>
    </row>
    <row r="159" spans="2:4">
      <c r="B159" s="15"/>
      <c r="C159" s="15"/>
      <c r="D159" s="15"/>
    </row>
    <row r="160" spans="2:4">
      <c r="B160" s="15"/>
      <c r="C160" s="15"/>
      <c r="D160" s="15"/>
    </row>
    <row r="161" spans="2:4">
      <c r="B161" s="15"/>
      <c r="C161" s="15"/>
      <c r="D161" s="15"/>
    </row>
    <row r="162" spans="2:4">
      <c r="B162" s="15"/>
      <c r="C162" s="15"/>
      <c r="D162" s="15"/>
    </row>
    <row r="163" spans="2:4">
      <c r="B163" s="15"/>
      <c r="C163" s="15"/>
      <c r="D163" s="15"/>
    </row>
    <row r="164" spans="2:4">
      <c r="B164" s="15"/>
      <c r="C164" s="15"/>
      <c r="D164" s="15"/>
    </row>
    <row r="165" spans="2:4">
      <c r="B165" s="15"/>
      <c r="C165" s="15"/>
      <c r="D165" s="15"/>
    </row>
    <row r="166" spans="2:4">
      <c r="B166" s="15"/>
      <c r="C166" s="15"/>
      <c r="D166" s="15"/>
    </row>
    <row r="167" spans="2:4">
      <c r="B167" s="15"/>
      <c r="C167" s="15"/>
      <c r="D167" s="15"/>
    </row>
    <row r="168" spans="2:4" ht="15" customHeight="1">
      <c r="B168" s="15"/>
      <c r="C168" s="15"/>
      <c r="D168" s="15"/>
    </row>
    <row r="169" spans="2:4">
      <c r="B169" s="15"/>
      <c r="C169" s="15"/>
      <c r="D169" s="15"/>
    </row>
    <row r="170" spans="2:4">
      <c r="B170" s="15"/>
      <c r="C170" s="15"/>
      <c r="D170" s="15"/>
    </row>
    <row r="171" spans="2:4">
      <c r="B171" s="15"/>
      <c r="C171" s="15"/>
      <c r="D171" s="15"/>
    </row>
    <row r="172" spans="2:4">
      <c r="B172" s="15"/>
      <c r="C172" s="15"/>
      <c r="D172" s="15"/>
    </row>
    <row r="173" spans="2:4">
      <c r="B173" s="15"/>
      <c r="C173" s="15"/>
      <c r="D173" s="15"/>
    </row>
    <row r="174" spans="2:4">
      <c r="B174" s="15"/>
      <c r="C174" s="15"/>
      <c r="D174" s="15"/>
    </row>
    <row r="175" spans="2:4">
      <c r="B175" s="15"/>
      <c r="C175" s="15"/>
      <c r="D175" s="15"/>
    </row>
    <row r="176" spans="2:4">
      <c r="B176" s="15"/>
      <c r="C176" s="15"/>
      <c r="D176" s="15"/>
    </row>
    <row r="177" spans="2:4">
      <c r="B177" s="15"/>
      <c r="C177" s="15"/>
      <c r="D177" s="15"/>
    </row>
    <row r="178" spans="2:4" ht="15" customHeight="1">
      <c r="B178" s="15"/>
      <c r="C178" s="15"/>
      <c r="D178" s="15"/>
    </row>
    <row r="179" spans="2:4">
      <c r="B179" s="15"/>
      <c r="C179" s="15"/>
      <c r="D179" s="15"/>
    </row>
    <row r="180" spans="2:4">
      <c r="B180" s="15"/>
      <c r="C180" s="15"/>
      <c r="D180" s="15"/>
    </row>
    <row r="181" spans="2:4">
      <c r="B181" s="15"/>
      <c r="C181" s="15"/>
      <c r="D181" s="15"/>
    </row>
    <row r="182" spans="2:4">
      <c r="B182" s="15"/>
      <c r="C182" s="15"/>
      <c r="D182" s="15"/>
    </row>
    <row r="183" spans="2:4" ht="15" customHeight="1">
      <c r="B183" s="15"/>
      <c r="C183" s="15"/>
      <c r="D183" s="15"/>
    </row>
    <row r="184" spans="2:4">
      <c r="B184" s="15"/>
      <c r="C184" s="15"/>
      <c r="D184" s="15"/>
    </row>
    <row r="185" spans="2:4">
      <c r="B185" s="15"/>
      <c r="C185" s="15"/>
      <c r="D185" s="15"/>
    </row>
    <row r="186" spans="2:4">
      <c r="B186" s="15"/>
      <c r="C186" s="15"/>
      <c r="D186" s="15"/>
    </row>
    <row r="187" spans="2:4">
      <c r="B187" s="15"/>
      <c r="C187" s="15"/>
      <c r="D187" s="15"/>
    </row>
    <row r="188" spans="2:4" ht="15" customHeight="1">
      <c r="B188" s="15"/>
      <c r="C188" s="15"/>
      <c r="D188" s="15"/>
    </row>
    <row r="189" spans="2:4">
      <c r="B189" s="15"/>
      <c r="C189" s="15"/>
      <c r="D189" s="15"/>
    </row>
    <row r="190" spans="2:4">
      <c r="B190" s="15"/>
      <c r="C190" s="15"/>
      <c r="D190" s="15"/>
    </row>
    <row r="191" spans="2:4">
      <c r="B191" s="15"/>
      <c r="C191" s="15"/>
      <c r="D191" s="15"/>
    </row>
    <row r="192" spans="2:4">
      <c r="B192" s="15"/>
      <c r="C192" s="15"/>
      <c r="D192" s="15"/>
    </row>
    <row r="193" spans="2:4" ht="15" customHeight="1">
      <c r="B193" s="15"/>
      <c r="C193" s="15"/>
      <c r="D193" s="15"/>
    </row>
  </sheetData>
  <mergeCells count="3">
    <mergeCell ref="B5:B6"/>
    <mergeCell ref="C5:C6"/>
    <mergeCell ref="D5: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CBB6-AC04-4483-9A2C-0CD2177174C5}">
  <dimension ref="B4:Y90"/>
  <sheetViews>
    <sheetView zoomScale="136" workbookViewId="0">
      <selection activeCell="H101" sqref="H101"/>
    </sheetView>
  </sheetViews>
  <sheetFormatPr baseColWidth="10" defaultColWidth="8.83203125" defaultRowHeight="15"/>
  <cols>
    <col min="2" max="2" width="58.1640625" customWidth="1"/>
  </cols>
  <sheetData>
    <row r="4" spans="2:25">
      <c r="B4" s="177" t="s">
        <v>241</v>
      </c>
      <c r="C4" s="175"/>
      <c r="D4" s="175"/>
      <c r="E4" s="175"/>
      <c r="F4" s="175"/>
      <c r="G4" s="175"/>
      <c r="H4" s="175"/>
      <c r="I4" s="175"/>
      <c r="J4" s="175"/>
      <c r="K4" s="175"/>
      <c r="L4" s="175"/>
      <c r="M4" s="175"/>
      <c r="N4" s="175"/>
      <c r="O4" s="175"/>
      <c r="P4" s="175"/>
      <c r="Q4" s="175"/>
      <c r="R4" s="175"/>
      <c r="S4" s="175"/>
      <c r="T4" s="175"/>
      <c r="U4" s="175"/>
      <c r="V4" s="175"/>
      <c r="W4" s="175"/>
      <c r="X4" s="175"/>
      <c r="Y4" s="175"/>
    </row>
    <row r="5" spans="2:25">
      <c r="B5" s="15" t="s">
        <v>242</v>
      </c>
      <c r="C5" s="175"/>
      <c r="D5" s="175"/>
      <c r="E5" s="175"/>
      <c r="F5" s="175"/>
      <c r="G5" s="175"/>
      <c r="H5" s="175"/>
      <c r="I5" s="175"/>
      <c r="J5" s="175"/>
      <c r="K5" s="175"/>
      <c r="L5" s="175"/>
      <c r="M5" s="175"/>
      <c r="N5" s="175"/>
      <c r="O5" s="175"/>
      <c r="P5" s="175"/>
      <c r="Q5" s="175"/>
      <c r="R5" s="175"/>
      <c r="S5" s="175"/>
      <c r="T5" s="175"/>
      <c r="U5" s="175"/>
      <c r="V5" s="175"/>
      <c r="W5" s="175"/>
      <c r="X5" s="175"/>
      <c r="Y5" s="176"/>
    </row>
    <row r="6" spans="2:25">
      <c r="B6" s="15" t="s">
        <v>196</v>
      </c>
      <c r="C6" s="175"/>
      <c r="D6" s="175"/>
      <c r="E6" s="175"/>
      <c r="F6" s="175"/>
      <c r="G6" s="175"/>
      <c r="H6" s="175"/>
      <c r="I6" s="175"/>
      <c r="J6" s="175"/>
      <c r="K6" s="175"/>
      <c r="L6" s="175"/>
      <c r="M6" s="175"/>
      <c r="N6" s="175"/>
      <c r="O6" s="175"/>
      <c r="P6" s="175"/>
      <c r="Q6" s="175"/>
      <c r="R6" s="175"/>
      <c r="S6" s="175"/>
      <c r="T6" s="175"/>
      <c r="U6" s="175"/>
      <c r="V6" s="175"/>
      <c r="W6" s="175"/>
      <c r="X6" s="175"/>
      <c r="Y6" s="175"/>
    </row>
    <row r="7" spans="2:25">
      <c r="B7" s="178" t="s">
        <v>244</v>
      </c>
      <c r="C7" s="175"/>
      <c r="D7" s="175"/>
      <c r="E7" s="175"/>
      <c r="F7" s="175"/>
      <c r="G7" s="175"/>
      <c r="H7" s="175"/>
      <c r="I7" s="175"/>
      <c r="J7" s="175"/>
      <c r="K7" s="175"/>
      <c r="L7" s="175"/>
      <c r="M7" s="175"/>
      <c r="N7" s="175"/>
      <c r="O7" s="175"/>
      <c r="P7" s="175"/>
      <c r="Q7" s="175"/>
      <c r="R7" s="175"/>
      <c r="S7" s="175"/>
      <c r="T7" s="175"/>
      <c r="U7" s="175"/>
      <c r="V7" s="175"/>
      <c r="W7" s="175"/>
      <c r="X7" s="175"/>
      <c r="Y7" s="175"/>
    </row>
    <row r="8" spans="2:25">
      <c r="B8" s="178" t="s">
        <v>245</v>
      </c>
      <c r="C8" s="175"/>
      <c r="D8" s="175"/>
      <c r="E8" s="175"/>
      <c r="F8" s="175"/>
      <c r="G8" s="175"/>
      <c r="H8" s="175"/>
      <c r="I8" s="175"/>
      <c r="J8" s="175"/>
      <c r="K8" s="175"/>
      <c r="L8" s="175"/>
      <c r="M8" s="175"/>
      <c r="N8" s="175"/>
      <c r="O8" s="175"/>
      <c r="P8" s="175"/>
      <c r="Q8" s="175"/>
      <c r="R8" s="175"/>
      <c r="S8" s="175"/>
      <c r="T8" s="175"/>
      <c r="U8" s="175"/>
      <c r="V8" s="175"/>
      <c r="W8" s="175"/>
      <c r="X8" s="175"/>
      <c r="Y8" s="175"/>
    </row>
    <row r="9" spans="2:25">
      <c r="B9" s="178" t="s">
        <v>246</v>
      </c>
      <c r="C9" s="175"/>
      <c r="D9" s="175"/>
      <c r="E9" s="175"/>
      <c r="F9" s="175"/>
      <c r="G9" s="175"/>
      <c r="H9" s="175"/>
      <c r="I9" s="175"/>
      <c r="J9" s="175"/>
      <c r="K9" s="175"/>
      <c r="L9" s="175"/>
      <c r="M9" s="175"/>
      <c r="N9" s="175"/>
      <c r="O9" s="175"/>
      <c r="P9" s="175"/>
      <c r="Q9" s="175"/>
      <c r="R9" s="175"/>
      <c r="S9" s="175"/>
      <c r="T9" s="175"/>
      <c r="U9" s="175"/>
      <c r="V9" s="175"/>
      <c r="W9" s="175"/>
      <c r="X9" s="175"/>
      <c r="Y9" s="175"/>
    </row>
    <row r="10" spans="2:25">
      <c r="B10" s="178" t="s">
        <v>247</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row>
    <row r="11" spans="2:25">
      <c r="B11" s="178" t="s">
        <v>248</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row>
    <row r="12" spans="2:25">
      <c r="B12" s="178" t="s">
        <v>249</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row>
    <row r="13" spans="2:25">
      <c r="B13" s="178" t="s">
        <v>197</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row>
    <row r="14" spans="2:25">
      <c r="B14" s="178" t="s">
        <v>250</v>
      </c>
      <c r="C14" s="175"/>
      <c r="D14" s="175"/>
      <c r="E14" s="175"/>
      <c r="F14" s="175"/>
      <c r="G14" s="175"/>
      <c r="H14" s="175"/>
      <c r="I14" s="175"/>
      <c r="J14" s="175"/>
      <c r="K14" s="175"/>
      <c r="L14" s="175"/>
      <c r="M14" s="175"/>
      <c r="N14" s="175"/>
      <c r="O14" s="175"/>
      <c r="P14" s="175"/>
      <c r="Q14" s="175"/>
      <c r="R14" s="175"/>
      <c r="S14" s="175"/>
      <c r="T14" s="175"/>
      <c r="U14" s="175"/>
      <c r="V14" s="175"/>
      <c r="W14" s="175"/>
      <c r="X14" s="175"/>
      <c r="Y14" s="175"/>
    </row>
    <row r="15" spans="2:25">
      <c r="B15" s="178" t="s">
        <v>251</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row>
    <row r="16" spans="2:25">
      <c r="B16" s="178" t="s">
        <v>252</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row>
    <row r="17" spans="2:25">
      <c r="B17" s="178" t="s">
        <v>253</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row>
    <row r="18" spans="2:25">
      <c r="B18" s="178" t="s">
        <v>254</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row>
    <row r="19" spans="2:25">
      <c r="B19" s="178" t="s">
        <v>255</v>
      </c>
      <c r="C19" s="175"/>
      <c r="D19" s="175"/>
      <c r="E19" s="175"/>
      <c r="F19" s="175"/>
      <c r="G19" s="175"/>
      <c r="H19" s="175"/>
      <c r="I19" s="175"/>
      <c r="J19" s="175"/>
      <c r="K19" s="175"/>
      <c r="L19" s="175"/>
      <c r="M19" s="175"/>
      <c r="N19" s="175"/>
      <c r="O19" s="175"/>
      <c r="P19" s="175"/>
      <c r="Q19" s="175"/>
      <c r="R19" s="175"/>
      <c r="S19" s="175"/>
      <c r="T19" s="175"/>
      <c r="U19" s="175"/>
      <c r="V19" s="175"/>
      <c r="W19" s="175"/>
      <c r="X19" s="175"/>
      <c r="Y19" s="175"/>
    </row>
    <row r="20" spans="2:25">
      <c r="B20" s="178" t="s">
        <v>256</v>
      </c>
      <c r="C20" s="175"/>
      <c r="D20" s="175"/>
      <c r="E20" s="175"/>
      <c r="F20" s="175"/>
      <c r="G20" s="175"/>
      <c r="H20" s="175"/>
      <c r="I20" s="175"/>
      <c r="J20" s="175"/>
      <c r="K20" s="175"/>
      <c r="L20" s="175"/>
      <c r="M20" s="175"/>
      <c r="N20" s="175"/>
      <c r="O20" s="175"/>
      <c r="P20" s="175"/>
      <c r="Q20" s="175"/>
      <c r="R20" s="175"/>
      <c r="S20" s="175"/>
      <c r="T20" s="175"/>
      <c r="U20" s="175"/>
      <c r="V20" s="175"/>
      <c r="W20" s="175"/>
      <c r="X20" s="175"/>
      <c r="Y20" s="175"/>
    </row>
    <row r="21" spans="2:25">
      <c r="B21" s="178" t="s">
        <v>257</v>
      </c>
      <c r="C21" s="175"/>
      <c r="D21" s="175"/>
      <c r="E21" s="175"/>
      <c r="F21" s="175"/>
      <c r="G21" s="175"/>
      <c r="H21" s="175"/>
      <c r="I21" s="175"/>
      <c r="J21" s="175"/>
      <c r="K21" s="175"/>
      <c r="L21" s="175"/>
      <c r="M21" s="175"/>
      <c r="N21" s="175"/>
      <c r="O21" s="175"/>
      <c r="P21" s="175"/>
      <c r="Q21" s="175"/>
      <c r="R21" s="175"/>
      <c r="S21" s="175"/>
      <c r="T21" s="175"/>
      <c r="U21" s="175"/>
      <c r="V21" s="175"/>
      <c r="W21" s="175"/>
      <c r="X21" s="175"/>
      <c r="Y21" s="175"/>
    </row>
    <row r="22" spans="2:25">
      <c r="B22" s="178" t="s">
        <v>258</v>
      </c>
      <c r="C22" s="175"/>
      <c r="D22" s="175"/>
      <c r="E22" s="175"/>
      <c r="F22" s="175"/>
      <c r="G22" s="175"/>
      <c r="H22" s="175"/>
      <c r="I22" s="175"/>
      <c r="J22" s="175"/>
      <c r="K22" s="175"/>
      <c r="L22" s="175"/>
      <c r="M22" s="175"/>
      <c r="N22" s="175"/>
      <c r="O22" s="175"/>
      <c r="P22" s="175"/>
      <c r="Q22" s="175"/>
      <c r="R22" s="175"/>
      <c r="S22" s="175"/>
      <c r="T22" s="175"/>
      <c r="U22" s="175"/>
      <c r="V22" s="175"/>
      <c r="W22" s="175"/>
      <c r="X22" s="175"/>
      <c r="Y22" s="175"/>
    </row>
    <row r="23" spans="2:25">
      <c r="B23" s="178" t="s">
        <v>259</v>
      </c>
      <c r="C23" s="175"/>
      <c r="D23" s="175"/>
      <c r="E23" s="175"/>
      <c r="F23" s="175"/>
      <c r="G23" s="175"/>
      <c r="H23" s="175"/>
      <c r="I23" s="175"/>
      <c r="J23" s="175"/>
      <c r="K23" s="175"/>
      <c r="L23" s="175"/>
      <c r="M23" s="175"/>
      <c r="N23" s="175"/>
      <c r="O23" s="175"/>
      <c r="P23" s="175"/>
      <c r="Q23" s="175"/>
      <c r="R23" s="175"/>
      <c r="S23" s="175"/>
      <c r="T23" s="175"/>
      <c r="U23" s="175"/>
      <c r="V23" s="175"/>
      <c r="W23" s="175"/>
      <c r="X23" s="175"/>
      <c r="Y23" s="175"/>
    </row>
    <row r="24" spans="2:25">
      <c r="B24" s="178" t="s">
        <v>260</v>
      </c>
      <c r="C24" s="175"/>
      <c r="D24" s="175"/>
      <c r="E24" s="175"/>
      <c r="F24" s="175"/>
      <c r="G24" s="175"/>
      <c r="H24" s="175"/>
      <c r="I24" s="175"/>
      <c r="J24" s="175"/>
      <c r="K24" s="175"/>
      <c r="L24" s="175"/>
      <c r="M24" s="175"/>
      <c r="N24" s="175"/>
      <c r="O24" s="175"/>
      <c r="P24" s="175"/>
      <c r="Q24" s="175"/>
      <c r="R24" s="175"/>
      <c r="S24" s="175"/>
      <c r="T24" s="175"/>
      <c r="U24" s="175"/>
      <c r="V24" s="175"/>
      <c r="W24" s="175"/>
      <c r="X24" s="175"/>
      <c r="Y24" s="175"/>
    </row>
    <row r="25" spans="2:25">
      <c r="B25" s="178" t="s">
        <v>261</v>
      </c>
      <c r="C25" s="175"/>
      <c r="D25" s="175"/>
      <c r="E25" s="175"/>
      <c r="F25" s="175"/>
      <c r="G25" s="175"/>
      <c r="H25" s="175"/>
      <c r="I25" s="175"/>
      <c r="J25" s="175"/>
      <c r="K25" s="175"/>
      <c r="L25" s="175"/>
      <c r="M25" s="175"/>
      <c r="N25" s="175"/>
      <c r="O25" s="175"/>
      <c r="P25" s="175"/>
      <c r="Q25" s="175"/>
      <c r="R25" s="175"/>
      <c r="S25" s="175"/>
      <c r="T25" s="175"/>
      <c r="U25" s="175"/>
      <c r="V25" s="175"/>
      <c r="W25" s="175"/>
      <c r="X25" s="175"/>
      <c r="Y25" s="175"/>
    </row>
    <row r="26" spans="2:25">
      <c r="B26" s="178" t="s">
        <v>262</v>
      </c>
      <c r="C26" s="175"/>
      <c r="D26" s="175"/>
      <c r="E26" s="175"/>
      <c r="F26" s="175"/>
      <c r="G26" s="175"/>
      <c r="H26" s="175"/>
      <c r="I26" s="175"/>
      <c r="J26" s="175"/>
      <c r="K26" s="175"/>
      <c r="L26" s="175"/>
      <c r="M26" s="175"/>
      <c r="N26" s="175"/>
      <c r="O26" s="175"/>
      <c r="P26" s="175"/>
      <c r="Q26" s="175"/>
      <c r="R26" s="175"/>
      <c r="S26" s="175"/>
      <c r="T26" s="175"/>
      <c r="U26" s="175"/>
      <c r="V26" s="175"/>
      <c r="W26" s="175"/>
      <c r="X26" s="175"/>
      <c r="Y26" s="175"/>
    </row>
    <row r="27" spans="2:25">
      <c r="B27" s="178" t="s">
        <v>263</v>
      </c>
      <c r="C27" s="175"/>
      <c r="D27" s="175"/>
      <c r="E27" s="175"/>
      <c r="F27" s="175"/>
      <c r="G27" s="175"/>
      <c r="H27" s="175"/>
      <c r="I27" s="175"/>
      <c r="J27" s="175"/>
      <c r="K27" s="175"/>
      <c r="L27" s="175"/>
      <c r="M27" s="175"/>
      <c r="N27" s="175"/>
      <c r="O27" s="175"/>
      <c r="P27" s="175"/>
      <c r="Q27" s="175"/>
      <c r="R27" s="175"/>
      <c r="S27" s="175"/>
      <c r="T27" s="175"/>
      <c r="U27" s="175"/>
      <c r="V27" s="175"/>
      <c r="W27" s="175"/>
      <c r="X27" s="175"/>
      <c r="Y27" s="175"/>
    </row>
    <row r="28" spans="2:25">
      <c r="B28" s="82"/>
      <c r="C28" s="175"/>
      <c r="D28" s="175"/>
      <c r="E28" s="175"/>
      <c r="F28" s="175"/>
      <c r="G28" s="175"/>
      <c r="H28" s="175"/>
      <c r="I28" s="175"/>
      <c r="J28" s="175"/>
      <c r="K28" s="175"/>
      <c r="L28" s="175"/>
      <c r="M28" s="175"/>
      <c r="N28" s="175"/>
      <c r="O28" s="175"/>
      <c r="P28" s="175"/>
      <c r="Q28" s="175"/>
      <c r="R28" s="175"/>
      <c r="S28" s="175"/>
      <c r="T28" s="175"/>
      <c r="U28" s="175"/>
      <c r="V28" s="175"/>
      <c r="W28" s="175"/>
      <c r="X28" s="175"/>
      <c r="Y28" s="175"/>
    </row>
    <row r="29" spans="2:25">
      <c r="B29" s="15" t="s">
        <v>198</v>
      </c>
      <c r="C29" s="175"/>
      <c r="D29" s="175"/>
      <c r="E29" s="175"/>
      <c r="F29" s="175"/>
      <c r="G29" s="175"/>
      <c r="H29" s="175"/>
      <c r="I29" s="175"/>
      <c r="J29" s="175"/>
      <c r="K29" s="175"/>
      <c r="L29" s="175"/>
      <c r="M29" s="175"/>
      <c r="N29" s="175"/>
      <c r="O29" s="175"/>
      <c r="P29" s="175"/>
      <c r="Q29" s="175"/>
      <c r="R29" s="175"/>
      <c r="S29" s="175"/>
      <c r="T29" s="175"/>
      <c r="U29" s="175"/>
      <c r="V29" s="175"/>
      <c r="W29" s="175"/>
      <c r="X29" s="175"/>
      <c r="Y29" s="175"/>
    </row>
    <row r="30" spans="2:25">
      <c r="B30" s="177" t="s">
        <v>199</v>
      </c>
      <c r="C30" s="175"/>
      <c r="D30" s="175"/>
      <c r="E30" s="175"/>
      <c r="F30" s="175"/>
      <c r="G30" s="175"/>
      <c r="H30" s="175"/>
      <c r="I30" s="175"/>
      <c r="J30" s="175"/>
      <c r="K30" s="175"/>
      <c r="L30" s="175"/>
      <c r="M30" s="175"/>
      <c r="N30" s="175"/>
      <c r="O30" s="175"/>
      <c r="P30" s="175"/>
      <c r="Q30" s="175"/>
      <c r="R30" s="175"/>
      <c r="S30" s="175"/>
      <c r="T30" s="175"/>
      <c r="U30" s="175"/>
      <c r="V30" s="175"/>
      <c r="W30" s="175"/>
      <c r="X30" s="175"/>
      <c r="Y30" s="175"/>
    </row>
    <row r="31" spans="2:25">
      <c r="B31" s="178" t="s">
        <v>264</v>
      </c>
      <c r="C31" s="175"/>
      <c r="D31" s="175"/>
      <c r="E31" s="175"/>
      <c r="F31" s="175"/>
      <c r="G31" s="175"/>
      <c r="H31" s="175"/>
      <c r="I31" s="175"/>
      <c r="J31" s="175"/>
      <c r="K31" s="175"/>
      <c r="L31" s="175"/>
      <c r="M31" s="175"/>
      <c r="N31" s="175"/>
      <c r="O31" s="175"/>
      <c r="P31" s="175"/>
      <c r="Q31" s="175"/>
      <c r="R31" s="175"/>
      <c r="S31" s="175"/>
      <c r="T31" s="175"/>
      <c r="U31" s="175"/>
      <c r="V31" s="175"/>
      <c r="W31" s="175"/>
      <c r="X31" s="175"/>
      <c r="Y31" s="175"/>
    </row>
    <row r="32" spans="2:25">
      <c r="B32" s="179" t="s">
        <v>200</v>
      </c>
      <c r="C32" s="175"/>
      <c r="D32" s="175"/>
      <c r="E32" s="175"/>
      <c r="F32" s="175"/>
      <c r="G32" s="175"/>
      <c r="H32" s="175"/>
      <c r="I32" s="175"/>
      <c r="J32" s="175"/>
      <c r="K32" s="175"/>
      <c r="L32" s="175"/>
      <c r="M32" s="175"/>
      <c r="N32" s="175"/>
      <c r="O32" s="175"/>
      <c r="P32" s="175"/>
      <c r="Q32" s="175"/>
      <c r="R32" s="175"/>
      <c r="S32" s="175"/>
      <c r="T32" s="175"/>
      <c r="U32" s="175"/>
      <c r="V32" s="175"/>
      <c r="W32" s="175"/>
      <c r="X32" s="175"/>
      <c r="Y32" s="175"/>
    </row>
    <row r="33" spans="2:25">
      <c r="B33" s="180" t="s">
        <v>201</v>
      </c>
      <c r="C33" s="175"/>
      <c r="D33" s="175"/>
      <c r="E33" s="175"/>
      <c r="F33" s="175"/>
      <c r="G33" s="175"/>
      <c r="H33" s="175"/>
      <c r="I33" s="175"/>
      <c r="J33" s="175"/>
      <c r="K33" s="175"/>
      <c r="L33" s="175"/>
      <c r="M33" s="175"/>
      <c r="N33" s="175"/>
      <c r="O33" s="175"/>
      <c r="P33" s="175"/>
      <c r="Q33" s="175"/>
      <c r="R33" s="175"/>
      <c r="S33" s="175"/>
      <c r="T33" s="175"/>
      <c r="U33" s="175"/>
      <c r="V33" s="175"/>
      <c r="W33" s="175"/>
      <c r="X33" s="175"/>
      <c r="Y33" s="175"/>
    </row>
    <row r="34" spans="2:25">
      <c r="B34" s="178" t="s">
        <v>265</v>
      </c>
      <c r="C34" s="175"/>
      <c r="D34" s="175"/>
      <c r="E34" s="175"/>
      <c r="F34" s="175"/>
      <c r="G34" s="175"/>
      <c r="H34" s="175"/>
      <c r="I34" s="175"/>
      <c r="J34" s="175"/>
      <c r="K34" s="175"/>
      <c r="L34" s="175"/>
      <c r="M34" s="175"/>
      <c r="N34" s="175"/>
      <c r="O34" s="175"/>
      <c r="P34" s="175"/>
      <c r="Q34" s="175"/>
      <c r="R34" s="175"/>
      <c r="S34" s="175"/>
      <c r="T34" s="175"/>
      <c r="U34" s="175"/>
      <c r="V34" s="175"/>
      <c r="W34" s="175"/>
      <c r="X34" s="175"/>
      <c r="Y34" s="175"/>
    </row>
    <row r="35" spans="2:25">
      <c r="B35" s="178" t="s">
        <v>363</v>
      </c>
      <c r="C35" s="175"/>
      <c r="D35" s="175"/>
      <c r="E35" s="175"/>
      <c r="F35" s="175"/>
      <c r="G35" s="175"/>
      <c r="H35" s="175"/>
      <c r="I35" s="175"/>
      <c r="J35" s="175"/>
      <c r="K35" s="175"/>
      <c r="L35" s="175"/>
      <c r="M35" s="175"/>
      <c r="N35" s="175"/>
      <c r="O35" s="175"/>
      <c r="P35" s="175"/>
      <c r="Q35" s="175"/>
      <c r="R35" s="175"/>
      <c r="S35" s="175"/>
      <c r="T35" s="175"/>
      <c r="U35" s="175"/>
      <c r="V35" s="175"/>
      <c r="W35" s="175"/>
      <c r="X35" s="175"/>
      <c r="Y35" s="175"/>
    </row>
    <row r="36" spans="2:25">
      <c r="B36" s="178" t="s">
        <v>266</v>
      </c>
      <c r="C36" s="175"/>
      <c r="D36" s="175"/>
      <c r="E36" s="175"/>
      <c r="F36" s="175"/>
      <c r="G36" s="175"/>
      <c r="H36" s="175"/>
      <c r="I36" s="175"/>
      <c r="J36" s="175"/>
      <c r="K36" s="175"/>
      <c r="L36" s="175"/>
      <c r="M36" s="175"/>
      <c r="N36" s="175"/>
      <c r="O36" s="175"/>
      <c r="P36" s="175"/>
      <c r="Q36" s="175"/>
      <c r="R36" s="175"/>
      <c r="S36" s="175"/>
      <c r="T36" s="175"/>
      <c r="U36" s="175"/>
      <c r="V36" s="175"/>
      <c r="W36" s="175"/>
      <c r="X36" s="175"/>
      <c r="Y36" s="175"/>
    </row>
    <row r="37" spans="2:25">
      <c r="B37" s="178" t="s">
        <v>267</v>
      </c>
      <c r="C37" s="175"/>
      <c r="D37" s="175"/>
      <c r="E37" s="175"/>
      <c r="F37" s="175"/>
      <c r="G37" s="175"/>
      <c r="H37" s="175"/>
      <c r="I37" s="175"/>
      <c r="J37" s="175"/>
      <c r="K37" s="175"/>
      <c r="L37" s="175"/>
      <c r="M37" s="175"/>
      <c r="N37" s="175"/>
      <c r="O37" s="175"/>
      <c r="P37" s="175"/>
      <c r="Q37" s="175"/>
      <c r="R37" s="175"/>
      <c r="S37" s="175"/>
      <c r="T37" s="175"/>
      <c r="U37" s="175"/>
      <c r="V37" s="175"/>
      <c r="W37" s="175"/>
      <c r="X37" s="175"/>
      <c r="Y37" s="175"/>
    </row>
    <row r="38" spans="2:25">
      <c r="B38" s="178" t="s">
        <v>268</v>
      </c>
      <c r="C38" s="175"/>
      <c r="D38" s="175"/>
      <c r="E38" s="175"/>
      <c r="F38" s="175"/>
      <c r="G38" s="175"/>
      <c r="H38" s="175"/>
      <c r="I38" s="175"/>
      <c r="J38" s="175"/>
      <c r="K38" s="175"/>
      <c r="L38" s="175"/>
      <c r="M38" s="175"/>
      <c r="N38" s="175"/>
      <c r="O38" s="175"/>
      <c r="P38" s="175"/>
      <c r="Q38" s="175"/>
      <c r="R38" s="175"/>
      <c r="S38" s="175"/>
      <c r="T38" s="175"/>
      <c r="U38" s="175"/>
      <c r="V38" s="175"/>
      <c r="W38" s="175"/>
      <c r="X38" s="175"/>
      <c r="Y38" s="175"/>
    </row>
    <row r="39" spans="2:25">
      <c r="B39" s="178" t="s">
        <v>269</v>
      </c>
      <c r="C39" s="175"/>
      <c r="D39" s="175"/>
      <c r="E39" s="175"/>
      <c r="F39" s="175"/>
      <c r="G39" s="175"/>
      <c r="H39" s="175"/>
      <c r="I39" s="175"/>
      <c r="J39" s="175"/>
      <c r="K39" s="175"/>
      <c r="L39" s="175"/>
      <c r="M39" s="175"/>
      <c r="N39" s="175"/>
      <c r="O39" s="175"/>
      <c r="P39" s="175"/>
      <c r="Q39" s="175"/>
      <c r="R39" s="175"/>
      <c r="S39" s="175"/>
      <c r="T39" s="175"/>
      <c r="U39" s="175"/>
      <c r="V39" s="175"/>
      <c r="W39" s="175"/>
      <c r="X39" s="175"/>
      <c r="Y39" s="175"/>
    </row>
    <row r="40" spans="2:25">
      <c r="B40" s="178" t="s">
        <v>270</v>
      </c>
      <c r="C40" s="175"/>
      <c r="D40" s="175"/>
      <c r="E40" s="175"/>
      <c r="F40" s="175"/>
      <c r="G40" s="175"/>
      <c r="H40" s="175"/>
      <c r="I40" s="175"/>
      <c r="J40" s="175"/>
      <c r="K40" s="175"/>
      <c r="L40" s="175"/>
      <c r="M40" s="175"/>
      <c r="N40" s="175"/>
      <c r="O40" s="175"/>
      <c r="P40" s="175"/>
      <c r="Q40" s="175"/>
      <c r="R40" s="175"/>
      <c r="S40" s="175"/>
      <c r="T40" s="175"/>
      <c r="U40" s="175"/>
      <c r="V40" s="175"/>
      <c r="W40" s="175"/>
      <c r="X40" s="175"/>
      <c r="Y40" s="175"/>
    </row>
    <row r="41" spans="2:25">
      <c r="B41" s="178" t="s">
        <v>271</v>
      </c>
      <c r="C41" s="175"/>
      <c r="D41" s="175"/>
      <c r="E41" s="175"/>
      <c r="F41" s="175"/>
      <c r="G41" s="175"/>
      <c r="H41" s="175"/>
      <c r="I41" s="175"/>
      <c r="J41" s="175"/>
      <c r="K41" s="175"/>
      <c r="L41" s="175"/>
      <c r="M41" s="175"/>
      <c r="N41" s="175"/>
      <c r="O41" s="175"/>
      <c r="P41" s="175"/>
      <c r="Q41" s="175"/>
      <c r="R41" s="175"/>
      <c r="S41" s="175"/>
      <c r="T41" s="175"/>
      <c r="U41" s="175"/>
      <c r="V41" s="175"/>
      <c r="W41" s="175"/>
      <c r="X41" s="175"/>
      <c r="Y41" s="175"/>
    </row>
    <row r="42" spans="2:25">
      <c r="B42" s="178" t="s">
        <v>272</v>
      </c>
      <c r="C42" s="175"/>
      <c r="D42" s="175"/>
      <c r="E42" s="175"/>
      <c r="F42" s="175"/>
      <c r="G42" s="175"/>
      <c r="H42" s="175"/>
      <c r="I42" s="175"/>
      <c r="J42" s="175"/>
      <c r="K42" s="175"/>
      <c r="L42" s="175"/>
      <c r="M42" s="175"/>
      <c r="N42" s="175"/>
      <c r="O42" s="175"/>
      <c r="P42" s="175"/>
      <c r="Q42" s="175"/>
      <c r="R42" s="175"/>
      <c r="S42" s="175"/>
      <c r="T42" s="175"/>
      <c r="U42" s="175"/>
      <c r="V42" s="175"/>
      <c r="W42" s="175"/>
      <c r="X42" s="175"/>
      <c r="Y42" s="175"/>
    </row>
    <row r="43" spans="2:25">
      <c r="B43" s="178" t="s">
        <v>273</v>
      </c>
      <c r="C43" s="175"/>
      <c r="D43" s="175"/>
      <c r="E43" s="175"/>
      <c r="F43" s="175"/>
      <c r="G43" s="175"/>
      <c r="H43" s="175"/>
      <c r="I43" s="175"/>
      <c r="J43" s="175"/>
      <c r="K43" s="175"/>
      <c r="L43" s="175"/>
      <c r="M43" s="175"/>
      <c r="N43" s="175"/>
      <c r="O43" s="175"/>
      <c r="P43" s="175"/>
      <c r="Q43" s="175"/>
      <c r="R43" s="175"/>
      <c r="S43" s="175"/>
      <c r="T43" s="175"/>
      <c r="U43" s="175"/>
      <c r="V43" s="175"/>
      <c r="W43" s="175"/>
      <c r="X43" s="175"/>
      <c r="Y43" s="175"/>
    </row>
    <row r="44" spans="2:25">
      <c r="B44" s="178" t="s">
        <v>274</v>
      </c>
      <c r="C44" s="175"/>
      <c r="D44" s="175"/>
      <c r="E44" s="175"/>
      <c r="F44" s="175"/>
      <c r="G44" s="175"/>
      <c r="H44" s="175"/>
      <c r="I44" s="175"/>
      <c r="J44" s="175"/>
      <c r="K44" s="175"/>
      <c r="L44" s="175"/>
      <c r="M44" s="175"/>
      <c r="N44" s="175"/>
      <c r="O44" s="175"/>
      <c r="P44" s="175"/>
      <c r="Q44" s="175"/>
      <c r="R44" s="175"/>
      <c r="S44" s="175"/>
      <c r="T44" s="175"/>
      <c r="U44" s="175"/>
      <c r="V44" s="175"/>
      <c r="W44" s="175"/>
      <c r="X44" s="175"/>
      <c r="Y44" s="175"/>
    </row>
    <row r="45" spans="2:25">
      <c r="B45" s="178" t="s">
        <v>275</v>
      </c>
      <c r="C45" s="175"/>
      <c r="D45" s="175"/>
      <c r="E45" s="175"/>
      <c r="F45" s="175"/>
      <c r="G45" s="175"/>
      <c r="H45" s="175"/>
      <c r="I45" s="175"/>
      <c r="J45" s="175"/>
      <c r="K45" s="175"/>
      <c r="L45" s="175"/>
      <c r="M45" s="175"/>
      <c r="N45" s="175"/>
      <c r="O45" s="175"/>
      <c r="P45" s="175"/>
      <c r="Q45" s="175"/>
      <c r="R45" s="175"/>
      <c r="S45" s="175"/>
      <c r="T45" s="175"/>
      <c r="U45" s="175"/>
      <c r="V45" s="175"/>
      <c r="W45" s="175"/>
      <c r="X45" s="175"/>
      <c r="Y45" s="175"/>
    </row>
    <row r="46" spans="2:25">
      <c r="B46" s="178" t="s">
        <v>276</v>
      </c>
      <c r="C46" s="175"/>
      <c r="D46" s="175"/>
      <c r="E46" s="175"/>
      <c r="F46" s="175"/>
      <c r="G46" s="175"/>
      <c r="H46" s="175"/>
      <c r="I46" s="175"/>
      <c r="J46" s="175"/>
      <c r="K46" s="175"/>
      <c r="L46" s="175"/>
      <c r="M46" s="175"/>
      <c r="N46" s="175"/>
      <c r="O46" s="175"/>
      <c r="P46" s="175"/>
      <c r="Q46" s="175"/>
      <c r="R46" s="175"/>
      <c r="S46" s="175"/>
      <c r="T46" s="175"/>
      <c r="U46" s="175"/>
      <c r="V46" s="175"/>
      <c r="W46" s="175"/>
      <c r="X46" s="175"/>
      <c r="Y46" s="175"/>
    </row>
    <row r="47" spans="2:25">
      <c r="B47" s="178" t="s">
        <v>202</v>
      </c>
      <c r="C47" s="175"/>
      <c r="D47" s="175"/>
      <c r="E47" s="175"/>
      <c r="F47" s="175"/>
      <c r="G47" s="175"/>
      <c r="H47" s="175"/>
      <c r="I47" s="175"/>
      <c r="J47" s="175"/>
      <c r="K47" s="175"/>
      <c r="L47" s="175"/>
      <c r="M47" s="175"/>
      <c r="N47" s="175"/>
      <c r="O47" s="175"/>
      <c r="P47" s="175"/>
      <c r="Q47" s="175"/>
      <c r="R47" s="175"/>
      <c r="S47" s="175"/>
      <c r="T47" s="175"/>
      <c r="U47" s="175"/>
      <c r="V47" s="175"/>
      <c r="W47" s="175"/>
      <c r="X47" s="175"/>
      <c r="Y47" s="175"/>
    </row>
    <row r="48" spans="2:25">
      <c r="B48" s="178" t="s">
        <v>203</v>
      </c>
      <c r="C48" s="175"/>
      <c r="D48" s="175"/>
      <c r="E48" s="175"/>
      <c r="F48" s="175"/>
      <c r="G48" s="175"/>
      <c r="H48" s="175"/>
      <c r="I48" s="175"/>
      <c r="J48" s="175"/>
      <c r="K48" s="175"/>
      <c r="L48" s="175"/>
      <c r="M48" s="175"/>
      <c r="N48" s="175"/>
      <c r="O48" s="175"/>
      <c r="P48" s="175"/>
      <c r="Q48" s="175"/>
      <c r="R48" s="175"/>
      <c r="S48" s="175"/>
      <c r="T48" s="175"/>
      <c r="U48" s="175"/>
      <c r="V48" s="175"/>
      <c r="W48" s="175"/>
      <c r="X48" s="175"/>
      <c r="Y48" s="175"/>
    </row>
    <row r="49" spans="2:25">
      <c r="B49" s="181" t="s">
        <v>204</v>
      </c>
      <c r="C49" s="175"/>
      <c r="D49" s="175"/>
      <c r="E49" s="175"/>
      <c r="F49" s="175"/>
      <c r="G49" s="175"/>
      <c r="H49" s="175"/>
      <c r="I49" s="175"/>
      <c r="J49" s="175"/>
      <c r="K49" s="175"/>
      <c r="L49" s="175"/>
      <c r="M49" s="175"/>
      <c r="N49" s="175"/>
      <c r="O49" s="175"/>
      <c r="P49" s="175"/>
      <c r="Q49" s="175"/>
      <c r="R49" s="175"/>
      <c r="S49" s="175"/>
      <c r="T49" s="175"/>
      <c r="U49" s="175"/>
      <c r="V49" s="175"/>
      <c r="W49" s="175"/>
      <c r="X49" s="175"/>
      <c r="Y49" s="175"/>
    </row>
    <row r="50" spans="2:25">
      <c r="B50" s="181" t="s">
        <v>205</v>
      </c>
      <c r="C50" s="175"/>
      <c r="D50" s="175"/>
      <c r="E50" s="175"/>
      <c r="F50" s="175"/>
      <c r="G50" s="175"/>
      <c r="H50" s="175"/>
      <c r="I50" s="175"/>
      <c r="J50" s="175"/>
      <c r="K50" s="175"/>
      <c r="L50" s="175"/>
      <c r="M50" s="175"/>
      <c r="N50" s="175"/>
      <c r="O50" s="175"/>
      <c r="P50" s="175"/>
      <c r="Q50" s="175"/>
      <c r="R50" s="175"/>
      <c r="S50" s="175"/>
      <c r="T50" s="175"/>
      <c r="U50" s="175"/>
      <c r="V50" s="175"/>
      <c r="W50" s="175"/>
      <c r="X50" s="175"/>
      <c r="Y50" s="175"/>
    </row>
    <row r="51" spans="2:25">
      <c r="B51" s="178" t="s">
        <v>206</v>
      </c>
      <c r="C51" s="175"/>
      <c r="D51" s="175"/>
      <c r="E51" s="175"/>
      <c r="F51" s="175"/>
      <c r="G51" s="175"/>
      <c r="H51" s="175"/>
      <c r="I51" s="175"/>
      <c r="J51" s="175"/>
      <c r="K51" s="175"/>
      <c r="L51" s="175"/>
      <c r="M51" s="175"/>
      <c r="N51" s="175"/>
      <c r="O51" s="175"/>
      <c r="P51" s="175"/>
      <c r="Q51" s="175"/>
      <c r="R51" s="175"/>
      <c r="S51" s="175"/>
      <c r="T51" s="175"/>
      <c r="U51" s="175"/>
      <c r="V51" s="175"/>
      <c r="W51" s="175"/>
      <c r="X51" s="175"/>
      <c r="Y51" s="175"/>
    </row>
    <row r="52" spans="2:25">
      <c r="B52" s="178" t="s">
        <v>207</v>
      </c>
      <c r="C52" s="175"/>
      <c r="D52" s="175"/>
      <c r="E52" s="175"/>
      <c r="F52" s="175"/>
      <c r="G52" s="175"/>
      <c r="H52" s="175"/>
      <c r="I52" s="175"/>
      <c r="J52" s="175"/>
      <c r="K52" s="175"/>
      <c r="L52" s="175"/>
      <c r="M52" s="175"/>
      <c r="N52" s="175"/>
      <c r="O52" s="175"/>
      <c r="P52" s="175"/>
      <c r="Q52" s="175"/>
      <c r="R52" s="175"/>
      <c r="S52" s="175"/>
      <c r="T52" s="175"/>
      <c r="U52" s="175"/>
      <c r="V52" s="175"/>
      <c r="W52" s="175"/>
      <c r="X52" s="175"/>
      <c r="Y52" s="175"/>
    </row>
    <row r="53" spans="2:25">
      <c r="B53" s="178" t="s">
        <v>208</v>
      </c>
      <c r="C53" s="175"/>
      <c r="D53" s="175"/>
      <c r="E53" s="175"/>
      <c r="F53" s="175"/>
      <c r="G53" s="175"/>
      <c r="H53" s="175"/>
      <c r="I53" s="175"/>
      <c r="J53" s="175"/>
      <c r="K53" s="175"/>
      <c r="L53" s="175"/>
      <c r="M53" s="175"/>
      <c r="N53" s="175"/>
      <c r="O53" s="175"/>
      <c r="P53" s="175"/>
      <c r="Q53" s="175"/>
      <c r="R53" s="175"/>
      <c r="S53" s="175"/>
      <c r="T53" s="175"/>
      <c r="U53" s="175"/>
      <c r="V53" s="175"/>
      <c r="W53" s="175"/>
      <c r="X53" s="175"/>
      <c r="Y53" s="175"/>
    </row>
    <row r="54" spans="2:25">
      <c r="B54" s="178" t="s">
        <v>209</v>
      </c>
      <c r="C54" s="175"/>
      <c r="D54" s="175"/>
      <c r="E54" s="175"/>
      <c r="F54" s="175"/>
      <c r="G54" s="175"/>
      <c r="H54" s="175"/>
      <c r="I54" s="175"/>
      <c r="J54" s="175"/>
      <c r="K54" s="175"/>
      <c r="L54" s="175"/>
      <c r="M54" s="175"/>
      <c r="N54" s="175"/>
      <c r="O54" s="175"/>
      <c r="P54" s="175"/>
      <c r="Q54" s="175"/>
      <c r="R54" s="175"/>
      <c r="S54" s="175"/>
      <c r="T54" s="175"/>
      <c r="U54" s="175"/>
      <c r="V54" s="175"/>
      <c r="W54" s="175"/>
      <c r="X54" s="175"/>
      <c r="Y54" s="175"/>
    </row>
    <row r="55" spans="2:25">
      <c r="B55" s="178" t="s">
        <v>210</v>
      </c>
      <c r="C55" s="175"/>
      <c r="D55" s="175"/>
      <c r="E55" s="175"/>
      <c r="F55" s="175"/>
      <c r="G55" s="175"/>
      <c r="H55" s="175"/>
      <c r="I55" s="175"/>
      <c r="J55" s="175"/>
      <c r="K55" s="175"/>
      <c r="L55" s="175"/>
      <c r="M55" s="175"/>
      <c r="N55" s="175"/>
      <c r="O55" s="175"/>
      <c r="P55" s="175"/>
      <c r="Q55" s="175"/>
      <c r="R55" s="175"/>
      <c r="S55" s="175"/>
      <c r="T55" s="175"/>
      <c r="U55" s="175"/>
      <c r="V55" s="175"/>
      <c r="W55" s="175"/>
      <c r="X55" s="175"/>
      <c r="Y55" s="175"/>
    </row>
    <row r="56" spans="2:25">
      <c r="B56" s="178" t="s">
        <v>211</v>
      </c>
      <c r="C56" s="175"/>
      <c r="D56" s="175"/>
      <c r="E56" s="175"/>
      <c r="F56" s="175"/>
      <c r="G56" s="175"/>
      <c r="H56" s="175"/>
      <c r="I56" s="175"/>
      <c r="J56" s="175"/>
      <c r="K56" s="175"/>
      <c r="L56" s="175"/>
      <c r="M56" s="175"/>
      <c r="N56" s="175"/>
      <c r="O56" s="175"/>
      <c r="P56" s="175"/>
      <c r="Q56" s="175"/>
      <c r="R56" s="175"/>
      <c r="S56" s="175"/>
      <c r="T56" s="175"/>
      <c r="U56" s="175"/>
      <c r="V56" s="175"/>
      <c r="W56" s="175"/>
      <c r="X56" s="175"/>
      <c r="Y56" s="175"/>
    </row>
    <row r="57" spans="2:25">
      <c r="B57" s="178" t="s">
        <v>212</v>
      </c>
      <c r="C57" s="175"/>
      <c r="D57" s="175"/>
      <c r="E57" s="175"/>
      <c r="F57" s="175"/>
      <c r="G57" s="175"/>
      <c r="H57" s="175"/>
      <c r="I57" s="175"/>
      <c r="J57" s="175"/>
      <c r="K57" s="175"/>
      <c r="L57" s="175"/>
      <c r="M57" s="175"/>
      <c r="N57" s="175"/>
      <c r="O57" s="175"/>
      <c r="P57" s="175"/>
      <c r="Q57" s="175"/>
      <c r="R57" s="175"/>
      <c r="S57" s="175"/>
      <c r="T57" s="175"/>
      <c r="U57" s="175"/>
      <c r="V57" s="175"/>
      <c r="W57" s="175"/>
      <c r="X57" s="175"/>
      <c r="Y57" s="175"/>
    </row>
    <row r="58" spans="2:25">
      <c r="B58" s="178" t="s">
        <v>213</v>
      </c>
      <c r="C58" s="175"/>
      <c r="D58" s="175"/>
      <c r="E58" s="175"/>
      <c r="F58" s="175"/>
      <c r="G58" s="175"/>
      <c r="H58" s="175"/>
      <c r="I58" s="175"/>
      <c r="J58" s="175"/>
      <c r="K58" s="175"/>
      <c r="L58" s="175"/>
      <c r="M58" s="175"/>
      <c r="N58" s="175"/>
      <c r="O58" s="175"/>
      <c r="P58" s="175"/>
      <c r="Q58" s="175"/>
      <c r="R58" s="175"/>
      <c r="S58" s="175"/>
      <c r="T58" s="175"/>
      <c r="U58" s="175"/>
      <c r="V58" s="175"/>
      <c r="W58" s="175"/>
      <c r="X58" s="175"/>
      <c r="Y58" s="175"/>
    </row>
    <row r="59" spans="2:25">
      <c r="B59" s="181" t="s">
        <v>214</v>
      </c>
      <c r="C59" s="175"/>
      <c r="D59" s="175"/>
      <c r="E59" s="175"/>
      <c r="F59" s="175"/>
      <c r="G59" s="175"/>
      <c r="H59" s="175"/>
      <c r="I59" s="175"/>
      <c r="J59" s="175"/>
      <c r="K59" s="175"/>
      <c r="L59" s="175"/>
      <c r="M59" s="175"/>
      <c r="N59" s="175"/>
      <c r="O59" s="175"/>
      <c r="P59" s="175"/>
      <c r="Q59" s="175"/>
      <c r="R59" s="175"/>
      <c r="S59" s="175"/>
      <c r="T59" s="175"/>
      <c r="U59" s="175"/>
      <c r="V59" s="175"/>
      <c r="W59" s="175"/>
      <c r="X59" s="175"/>
      <c r="Y59" s="175"/>
    </row>
    <row r="60" spans="2:25">
      <c r="B60" s="178" t="s">
        <v>215</v>
      </c>
      <c r="C60" s="175"/>
      <c r="D60" s="175"/>
      <c r="E60" s="175"/>
      <c r="F60" s="175"/>
      <c r="G60" s="175"/>
      <c r="H60" s="175"/>
      <c r="I60" s="175"/>
      <c r="J60" s="175"/>
      <c r="K60" s="175"/>
      <c r="L60" s="175"/>
      <c r="M60" s="175"/>
      <c r="N60" s="175"/>
      <c r="O60" s="175"/>
      <c r="P60" s="175"/>
      <c r="Q60" s="175"/>
      <c r="R60" s="175"/>
      <c r="S60" s="175"/>
      <c r="T60" s="175"/>
      <c r="U60" s="175"/>
      <c r="V60" s="175"/>
      <c r="W60" s="175"/>
      <c r="X60" s="175"/>
      <c r="Y60" s="175"/>
    </row>
    <row r="61" spans="2:25">
      <c r="B61" s="179" t="s">
        <v>216</v>
      </c>
      <c r="C61" s="175"/>
      <c r="D61" s="175"/>
      <c r="E61" s="175"/>
      <c r="F61" s="175"/>
      <c r="G61" s="175"/>
      <c r="H61" s="175"/>
      <c r="I61" s="175"/>
      <c r="J61" s="175"/>
      <c r="K61" s="175"/>
      <c r="L61" s="175"/>
      <c r="M61" s="175"/>
      <c r="N61" s="175"/>
      <c r="O61" s="175"/>
      <c r="P61" s="175"/>
      <c r="Q61" s="175"/>
      <c r="R61" s="175"/>
      <c r="S61" s="175"/>
      <c r="T61" s="175"/>
      <c r="U61" s="175"/>
      <c r="V61" s="175"/>
      <c r="W61" s="175"/>
      <c r="X61" s="175"/>
      <c r="Y61" s="175"/>
    </row>
    <row r="62" spans="2:25">
      <c r="B62" s="179" t="s">
        <v>217</v>
      </c>
      <c r="C62" s="175"/>
      <c r="D62" s="175"/>
      <c r="E62" s="175"/>
      <c r="F62" s="175"/>
      <c r="G62" s="175"/>
      <c r="H62" s="175"/>
      <c r="I62" s="175"/>
      <c r="J62" s="175"/>
      <c r="K62" s="175"/>
      <c r="L62" s="175"/>
      <c r="M62" s="175"/>
      <c r="N62" s="175"/>
      <c r="O62" s="175"/>
      <c r="P62" s="175"/>
      <c r="Q62" s="175"/>
      <c r="R62" s="175"/>
      <c r="S62" s="175"/>
      <c r="T62" s="175"/>
      <c r="U62" s="175"/>
      <c r="V62" s="175"/>
      <c r="W62" s="175"/>
      <c r="X62" s="175"/>
      <c r="Y62" s="175"/>
    </row>
    <row r="63" spans="2:25">
      <c r="B63" s="179" t="s">
        <v>218</v>
      </c>
      <c r="C63" s="175"/>
      <c r="D63" s="175"/>
      <c r="E63" s="175"/>
      <c r="F63" s="175"/>
      <c r="G63" s="175"/>
      <c r="H63" s="175"/>
      <c r="I63" s="175"/>
      <c r="J63" s="175"/>
      <c r="K63" s="175"/>
      <c r="L63" s="175"/>
      <c r="M63" s="175"/>
      <c r="N63" s="175"/>
      <c r="O63" s="175"/>
      <c r="P63" s="175"/>
      <c r="Q63" s="175"/>
      <c r="R63" s="175"/>
      <c r="S63" s="175"/>
      <c r="T63" s="175"/>
      <c r="U63" s="175"/>
      <c r="V63" s="175"/>
      <c r="W63" s="175"/>
      <c r="X63" s="175"/>
      <c r="Y63" s="175"/>
    </row>
    <row r="64" spans="2:25">
      <c r="B64" s="178" t="s">
        <v>219</v>
      </c>
      <c r="C64" s="175"/>
      <c r="D64" s="175"/>
      <c r="E64" s="175"/>
      <c r="F64" s="175"/>
      <c r="G64" s="175"/>
      <c r="H64" s="175"/>
      <c r="I64" s="175"/>
      <c r="J64" s="175"/>
      <c r="K64" s="175"/>
      <c r="L64" s="175"/>
      <c r="M64" s="175"/>
      <c r="N64" s="175"/>
      <c r="O64" s="175"/>
      <c r="P64" s="175"/>
      <c r="Q64" s="175"/>
      <c r="R64" s="175"/>
      <c r="S64" s="175"/>
      <c r="T64" s="175"/>
      <c r="U64" s="175"/>
      <c r="V64" s="175"/>
      <c r="W64" s="175"/>
      <c r="X64" s="175"/>
      <c r="Y64" s="175"/>
    </row>
    <row r="65" spans="2:25">
      <c r="B65" s="179" t="s">
        <v>220</v>
      </c>
      <c r="C65" s="175"/>
      <c r="D65" s="175"/>
      <c r="E65" s="175"/>
      <c r="F65" s="175"/>
      <c r="G65" s="175"/>
      <c r="H65" s="175"/>
      <c r="I65" s="175"/>
      <c r="J65" s="175"/>
      <c r="K65" s="175"/>
      <c r="L65" s="175"/>
      <c r="M65" s="175"/>
      <c r="N65" s="175"/>
      <c r="O65" s="175"/>
      <c r="P65" s="175"/>
      <c r="Q65" s="175"/>
      <c r="R65" s="175"/>
      <c r="S65" s="175"/>
      <c r="T65" s="175"/>
      <c r="U65" s="175"/>
      <c r="V65" s="175"/>
      <c r="W65" s="175"/>
      <c r="X65" s="175"/>
      <c r="Y65" s="175"/>
    </row>
    <row r="66" spans="2:25">
      <c r="B66" s="178" t="s">
        <v>221</v>
      </c>
      <c r="C66" s="175"/>
      <c r="D66" s="175"/>
      <c r="E66" s="175"/>
      <c r="F66" s="175"/>
      <c r="G66" s="175"/>
      <c r="H66" s="175"/>
      <c r="I66" s="175"/>
      <c r="J66" s="175"/>
      <c r="K66" s="175"/>
      <c r="L66" s="175"/>
      <c r="M66" s="175"/>
      <c r="N66" s="175"/>
      <c r="O66" s="175"/>
      <c r="P66" s="175"/>
      <c r="Q66" s="175"/>
      <c r="R66" s="175"/>
      <c r="S66" s="175"/>
      <c r="T66" s="175"/>
      <c r="U66" s="175"/>
      <c r="V66" s="175"/>
      <c r="W66" s="175"/>
      <c r="X66" s="175"/>
      <c r="Y66" s="175"/>
    </row>
    <row r="67" spans="2:25">
      <c r="B67" s="179" t="s">
        <v>222</v>
      </c>
      <c r="C67" s="175"/>
      <c r="D67" s="175"/>
      <c r="E67" s="175"/>
      <c r="F67" s="175"/>
      <c r="G67" s="175"/>
      <c r="H67" s="175"/>
      <c r="I67" s="175"/>
      <c r="J67" s="175"/>
      <c r="K67" s="175"/>
      <c r="L67" s="175"/>
      <c r="M67" s="175"/>
      <c r="N67" s="175"/>
      <c r="O67" s="175"/>
      <c r="P67" s="175"/>
      <c r="Q67" s="175"/>
      <c r="R67" s="175"/>
      <c r="S67" s="175"/>
      <c r="T67" s="175"/>
      <c r="U67" s="175"/>
      <c r="V67" s="175"/>
      <c r="W67" s="175"/>
      <c r="X67" s="175"/>
      <c r="Y67" s="175"/>
    </row>
    <row r="68" spans="2:25">
      <c r="B68" s="178" t="s">
        <v>223</v>
      </c>
      <c r="C68" s="175"/>
      <c r="D68" s="175"/>
      <c r="E68" s="175"/>
      <c r="F68" s="175"/>
      <c r="G68" s="175"/>
      <c r="H68" s="175"/>
      <c r="I68" s="175"/>
      <c r="J68" s="175"/>
      <c r="K68" s="175"/>
      <c r="L68" s="175"/>
      <c r="M68" s="175"/>
      <c r="N68" s="175"/>
      <c r="O68" s="175"/>
      <c r="P68" s="175"/>
      <c r="Q68" s="175"/>
      <c r="R68" s="175"/>
      <c r="S68" s="175"/>
      <c r="T68" s="175"/>
      <c r="U68" s="175"/>
      <c r="V68" s="175"/>
      <c r="W68" s="175"/>
      <c r="X68" s="175"/>
      <c r="Y68" s="175"/>
    </row>
    <row r="69" spans="2:25">
      <c r="B69" s="179" t="s">
        <v>224</v>
      </c>
      <c r="C69" s="175"/>
      <c r="D69" s="175"/>
      <c r="E69" s="175"/>
      <c r="F69" s="175"/>
      <c r="G69" s="175"/>
      <c r="H69" s="175"/>
      <c r="I69" s="175"/>
      <c r="J69" s="175"/>
      <c r="K69" s="175"/>
      <c r="L69" s="175"/>
      <c r="M69" s="175"/>
      <c r="N69" s="175"/>
      <c r="O69" s="175"/>
      <c r="P69" s="175"/>
      <c r="Q69" s="175"/>
      <c r="R69" s="175"/>
      <c r="S69" s="175"/>
      <c r="T69" s="175"/>
      <c r="U69" s="175"/>
      <c r="V69" s="175"/>
      <c r="W69" s="175"/>
      <c r="X69" s="175"/>
      <c r="Y69" s="175"/>
    </row>
    <row r="70" spans="2:25">
      <c r="B70" s="178" t="s">
        <v>225</v>
      </c>
      <c r="C70" s="175"/>
      <c r="D70" s="175"/>
      <c r="E70" s="175"/>
      <c r="F70" s="175"/>
      <c r="G70" s="175"/>
      <c r="H70" s="175"/>
      <c r="I70" s="175"/>
      <c r="J70" s="175"/>
      <c r="K70" s="175"/>
      <c r="L70" s="175"/>
      <c r="M70" s="175"/>
      <c r="N70" s="175"/>
      <c r="O70" s="175"/>
      <c r="P70" s="175"/>
      <c r="Q70" s="175"/>
      <c r="R70" s="175"/>
      <c r="S70" s="175"/>
      <c r="T70" s="175"/>
      <c r="U70" s="175"/>
      <c r="V70" s="175"/>
      <c r="W70" s="175"/>
      <c r="X70" s="175"/>
      <c r="Y70" s="175"/>
    </row>
    <row r="71" spans="2:25">
      <c r="B71" s="179" t="s">
        <v>226</v>
      </c>
      <c r="C71" s="175"/>
      <c r="D71" s="175"/>
      <c r="E71" s="175"/>
      <c r="F71" s="175"/>
      <c r="G71" s="175"/>
      <c r="H71" s="175"/>
      <c r="I71" s="175"/>
      <c r="J71" s="175"/>
      <c r="K71" s="175"/>
      <c r="L71" s="175"/>
      <c r="M71" s="175"/>
      <c r="N71" s="175"/>
      <c r="O71" s="175"/>
      <c r="P71" s="175"/>
      <c r="Q71" s="175"/>
      <c r="R71" s="175"/>
      <c r="S71" s="175"/>
      <c r="T71" s="175"/>
      <c r="U71" s="175"/>
      <c r="V71" s="175"/>
      <c r="W71" s="175"/>
      <c r="X71" s="175"/>
      <c r="Y71" s="175"/>
    </row>
    <row r="72" spans="2:25">
      <c r="B72" s="178" t="s">
        <v>227</v>
      </c>
      <c r="C72" s="175"/>
      <c r="D72" s="175"/>
      <c r="E72" s="175"/>
      <c r="F72" s="175"/>
      <c r="G72" s="175"/>
      <c r="H72" s="175"/>
      <c r="I72" s="175"/>
      <c r="J72" s="175"/>
      <c r="K72" s="175"/>
      <c r="L72" s="175"/>
      <c r="M72" s="175"/>
      <c r="N72" s="175"/>
      <c r="O72" s="175"/>
      <c r="P72" s="175"/>
      <c r="Q72" s="175"/>
      <c r="R72" s="175"/>
      <c r="S72" s="175"/>
      <c r="T72" s="175"/>
      <c r="U72" s="175"/>
      <c r="V72" s="175"/>
      <c r="W72" s="175"/>
      <c r="X72" s="175"/>
      <c r="Y72" s="175"/>
    </row>
    <row r="73" spans="2:25" ht="120">
      <c r="B73" s="182" t="s">
        <v>228</v>
      </c>
      <c r="C73" s="175"/>
      <c r="D73" s="175"/>
      <c r="E73" s="175"/>
      <c r="F73" s="175"/>
      <c r="G73" s="175"/>
      <c r="H73" s="175"/>
      <c r="I73" s="175"/>
      <c r="J73" s="175"/>
      <c r="K73" s="175"/>
      <c r="L73" s="175"/>
      <c r="M73" s="175"/>
      <c r="N73" s="175"/>
      <c r="O73" s="175"/>
      <c r="P73" s="175"/>
      <c r="Q73" s="175"/>
      <c r="R73" s="175"/>
      <c r="S73" s="175"/>
      <c r="T73" s="175"/>
      <c r="U73" s="175"/>
      <c r="V73" s="175"/>
      <c r="W73" s="175"/>
      <c r="X73" s="175"/>
      <c r="Y73" s="175"/>
    </row>
    <row r="74" spans="2:25" ht="120">
      <c r="B74" s="182" t="s">
        <v>229</v>
      </c>
      <c r="C74" s="175"/>
      <c r="D74" s="175"/>
      <c r="E74" s="175"/>
      <c r="F74" s="175"/>
      <c r="G74" s="175"/>
      <c r="H74" s="175"/>
      <c r="I74" s="175"/>
      <c r="J74" s="175"/>
      <c r="K74" s="175"/>
      <c r="L74" s="175"/>
      <c r="M74" s="175"/>
      <c r="N74" s="175"/>
      <c r="O74" s="175"/>
      <c r="P74" s="175"/>
      <c r="Q74" s="175"/>
      <c r="R74" s="175"/>
      <c r="S74" s="175"/>
      <c r="T74" s="175"/>
      <c r="U74" s="175"/>
      <c r="V74" s="175"/>
      <c r="W74" s="175"/>
      <c r="X74" s="175"/>
      <c r="Y74" s="175"/>
    </row>
    <row r="75" spans="2:25" ht="120">
      <c r="B75" s="182" t="s">
        <v>230</v>
      </c>
      <c r="C75" s="175"/>
      <c r="D75" s="175"/>
      <c r="E75" s="175"/>
      <c r="F75" s="175"/>
      <c r="G75" s="175"/>
      <c r="H75" s="175"/>
      <c r="I75" s="175"/>
      <c r="J75" s="175"/>
      <c r="K75" s="175"/>
      <c r="L75" s="175"/>
      <c r="M75" s="175"/>
      <c r="N75" s="175"/>
      <c r="O75" s="175"/>
      <c r="P75" s="175"/>
      <c r="Q75" s="175"/>
      <c r="R75" s="175"/>
      <c r="S75" s="175"/>
      <c r="T75" s="175"/>
      <c r="U75" s="175"/>
      <c r="V75" s="175"/>
      <c r="W75" s="175"/>
      <c r="X75" s="175"/>
      <c r="Y75" s="175"/>
    </row>
    <row r="76" spans="2:25" ht="105">
      <c r="B76" s="182" t="s">
        <v>231</v>
      </c>
      <c r="C76" s="175"/>
      <c r="D76" s="175"/>
      <c r="E76" s="175"/>
      <c r="F76" s="175"/>
      <c r="G76" s="175"/>
      <c r="H76" s="175"/>
      <c r="I76" s="175"/>
      <c r="J76" s="175"/>
      <c r="K76" s="175"/>
      <c r="L76" s="175"/>
      <c r="M76" s="175"/>
      <c r="N76" s="175"/>
      <c r="O76" s="175"/>
      <c r="P76" s="175"/>
      <c r="Q76" s="175"/>
      <c r="R76" s="175"/>
      <c r="S76" s="175"/>
      <c r="T76" s="175"/>
      <c r="U76" s="175"/>
      <c r="V76" s="175"/>
      <c r="W76" s="175"/>
      <c r="X76" s="175"/>
      <c r="Y76" s="175"/>
    </row>
    <row r="77" spans="2:25" ht="105">
      <c r="B77" s="182" t="s">
        <v>232</v>
      </c>
      <c r="C77" s="175"/>
      <c r="D77" s="175"/>
      <c r="E77" s="175"/>
      <c r="F77" s="175"/>
      <c r="G77" s="175"/>
      <c r="H77" s="175"/>
      <c r="I77" s="175"/>
      <c r="J77" s="175"/>
      <c r="K77" s="175"/>
      <c r="L77" s="175"/>
      <c r="M77" s="175"/>
      <c r="N77" s="175"/>
      <c r="O77" s="175"/>
      <c r="P77" s="175"/>
      <c r="Q77" s="175"/>
      <c r="R77" s="175"/>
      <c r="S77" s="175"/>
      <c r="T77" s="175"/>
      <c r="U77" s="175"/>
      <c r="V77" s="175"/>
      <c r="W77" s="175"/>
      <c r="X77" s="175"/>
      <c r="Y77" s="175"/>
    </row>
    <row r="78" spans="2:25" ht="60">
      <c r="B78" s="182" t="s">
        <v>233</v>
      </c>
      <c r="C78" s="175"/>
      <c r="D78" s="175"/>
      <c r="E78" s="175"/>
      <c r="F78" s="175"/>
      <c r="G78" s="175"/>
      <c r="H78" s="175"/>
      <c r="I78" s="175"/>
      <c r="J78" s="175"/>
      <c r="K78" s="175"/>
      <c r="L78" s="175"/>
      <c r="M78" s="175"/>
      <c r="N78" s="175"/>
      <c r="O78" s="175"/>
      <c r="P78" s="175"/>
      <c r="Q78" s="175"/>
      <c r="R78" s="175"/>
      <c r="S78" s="175"/>
      <c r="T78" s="175"/>
      <c r="U78" s="175"/>
      <c r="V78" s="175"/>
      <c r="W78" s="175"/>
      <c r="X78" s="175"/>
      <c r="Y78" s="175"/>
    </row>
    <row r="79" spans="2:25">
      <c r="B79" s="183"/>
      <c r="C79" s="175"/>
      <c r="D79" s="175"/>
      <c r="E79" s="175"/>
      <c r="F79" s="175"/>
      <c r="G79" s="175"/>
      <c r="H79" s="175"/>
      <c r="I79" s="175"/>
      <c r="J79" s="175"/>
      <c r="K79" s="175"/>
      <c r="L79" s="175"/>
      <c r="M79" s="175"/>
      <c r="N79" s="175"/>
      <c r="O79" s="175"/>
      <c r="P79" s="175"/>
      <c r="Q79" s="175"/>
      <c r="R79" s="175"/>
      <c r="S79" s="175"/>
      <c r="T79" s="175"/>
      <c r="U79" s="175"/>
      <c r="V79" s="175"/>
      <c r="W79" s="175"/>
      <c r="X79" s="175"/>
      <c r="Y79" s="175"/>
    </row>
    <row r="80" spans="2:25">
      <c r="B80" s="179" t="s">
        <v>234</v>
      </c>
      <c r="C80" s="175"/>
      <c r="D80" s="175"/>
      <c r="E80" s="175"/>
      <c r="F80" s="175"/>
      <c r="G80" s="175"/>
      <c r="H80" s="175"/>
      <c r="I80" s="175"/>
      <c r="J80" s="175"/>
      <c r="K80" s="175"/>
      <c r="L80" s="175"/>
      <c r="M80" s="175"/>
      <c r="N80" s="175"/>
      <c r="O80" s="175"/>
      <c r="P80" s="175"/>
      <c r="Q80" s="175"/>
      <c r="R80" s="175"/>
      <c r="S80" s="175"/>
      <c r="T80" s="175"/>
      <c r="U80" s="175"/>
      <c r="V80" s="175"/>
      <c r="W80" s="175"/>
      <c r="X80" s="175"/>
      <c r="Y80" s="175"/>
    </row>
    <row r="81" spans="2:25">
      <c r="B81" s="179" t="s">
        <v>235</v>
      </c>
      <c r="C81" s="175"/>
      <c r="D81" s="175"/>
      <c r="E81" s="175"/>
      <c r="F81" s="175"/>
      <c r="G81" s="175"/>
      <c r="H81" s="175"/>
      <c r="I81" s="175"/>
      <c r="J81" s="175"/>
      <c r="K81" s="175"/>
      <c r="L81" s="175"/>
      <c r="M81" s="175"/>
      <c r="N81" s="175"/>
      <c r="O81" s="175"/>
      <c r="P81" s="175"/>
      <c r="Q81" s="175"/>
      <c r="R81" s="175"/>
      <c r="S81" s="175"/>
      <c r="T81" s="175"/>
      <c r="U81" s="175"/>
      <c r="V81" s="175"/>
      <c r="W81" s="175"/>
      <c r="X81" s="175"/>
      <c r="Y81" s="175"/>
    </row>
    <row r="82" spans="2:25">
      <c r="B82" s="178" t="s">
        <v>236</v>
      </c>
      <c r="C82" s="175"/>
      <c r="D82" s="175"/>
      <c r="E82" s="175"/>
      <c r="F82" s="175"/>
      <c r="G82" s="175"/>
      <c r="H82" s="175"/>
      <c r="I82" s="175"/>
      <c r="J82" s="175"/>
      <c r="K82" s="175"/>
      <c r="L82" s="175"/>
      <c r="M82" s="175"/>
      <c r="N82" s="175"/>
      <c r="O82" s="175"/>
      <c r="P82" s="175"/>
      <c r="Q82" s="175"/>
      <c r="R82" s="175"/>
      <c r="S82" s="175"/>
      <c r="T82" s="175"/>
      <c r="U82" s="175"/>
      <c r="V82" s="175"/>
      <c r="W82" s="175"/>
      <c r="X82" s="175"/>
      <c r="Y82" s="175"/>
    </row>
    <row r="83" spans="2:25">
      <c r="B83" s="181" t="s">
        <v>237</v>
      </c>
      <c r="C83" s="175"/>
      <c r="D83" s="175"/>
      <c r="E83" s="175"/>
      <c r="F83" s="175"/>
      <c r="G83" s="175"/>
      <c r="H83" s="175"/>
      <c r="I83" s="175"/>
      <c r="J83" s="175"/>
      <c r="K83" s="175"/>
      <c r="L83" s="175"/>
      <c r="M83" s="175"/>
      <c r="N83" s="175"/>
      <c r="O83" s="175"/>
      <c r="P83" s="175"/>
      <c r="Q83" s="175"/>
      <c r="R83" s="175"/>
      <c r="S83" s="175"/>
      <c r="T83" s="175"/>
      <c r="U83" s="175"/>
      <c r="V83" s="175"/>
      <c r="W83" s="175"/>
      <c r="X83" s="175"/>
      <c r="Y83" s="175"/>
    </row>
    <row r="84" spans="2:25" ht="120">
      <c r="B84" s="182" t="s">
        <v>238</v>
      </c>
      <c r="C84" s="175"/>
      <c r="D84" s="175"/>
      <c r="E84" s="175"/>
      <c r="F84" s="175"/>
      <c r="G84" s="175"/>
      <c r="H84" s="175"/>
      <c r="I84" s="175"/>
      <c r="J84" s="175"/>
      <c r="K84" s="175"/>
      <c r="L84" s="175"/>
      <c r="M84" s="175"/>
      <c r="N84" s="175"/>
      <c r="O84" s="175"/>
      <c r="P84" s="175"/>
      <c r="Q84" s="175"/>
      <c r="R84" s="175"/>
      <c r="S84" s="175"/>
      <c r="T84" s="175"/>
      <c r="U84" s="175"/>
      <c r="V84" s="175"/>
      <c r="W84" s="175"/>
      <c r="X84" s="175"/>
      <c r="Y84" s="175"/>
    </row>
    <row r="85" spans="2:25" ht="75">
      <c r="B85" s="182" t="s">
        <v>239</v>
      </c>
      <c r="C85" s="175"/>
      <c r="D85" s="175"/>
      <c r="E85" s="175"/>
      <c r="F85" s="175"/>
      <c r="G85" s="175"/>
      <c r="H85" s="175"/>
      <c r="I85" s="175"/>
      <c r="J85" s="175"/>
      <c r="K85" s="175"/>
      <c r="L85" s="175"/>
      <c r="M85" s="175"/>
      <c r="N85" s="175"/>
      <c r="O85" s="175"/>
      <c r="P85" s="175"/>
      <c r="Q85" s="175"/>
      <c r="R85" s="175"/>
      <c r="S85" s="175"/>
      <c r="T85" s="175"/>
      <c r="U85" s="175"/>
      <c r="V85" s="175"/>
      <c r="W85" s="175"/>
      <c r="X85" s="175"/>
      <c r="Y85" s="175"/>
    </row>
    <row r="86" spans="2:25" ht="75">
      <c r="B86" s="182" t="s">
        <v>240</v>
      </c>
      <c r="C86" s="175"/>
      <c r="D86" s="175"/>
      <c r="E86" s="175"/>
      <c r="F86" s="175"/>
      <c r="G86" s="175"/>
      <c r="H86" s="175"/>
      <c r="I86" s="175"/>
      <c r="J86" s="175"/>
      <c r="K86" s="175"/>
      <c r="L86" s="175"/>
      <c r="M86" s="175"/>
      <c r="N86" s="175"/>
      <c r="O86" s="175"/>
      <c r="P86" s="175"/>
      <c r="Q86" s="175"/>
      <c r="R86" s="175"/>
      <c r="S86" s="175"/>
      <c r="T86" s="175"/>
      <c r="U86" s="175"/>
      <c r="V86" s="175"/>
      <c r="W86" s="175"/>
      <c r="X86" s="175"/>
      <c r="Y86" s="175"/>
    </row>
    <row r="87" spans="2:25">
      <c r="B87" s="181"/>
      <c r="C87" s="175"/>
      <c r="D87" s="175"/>
      <c r="E87" s="175"/>
      <c r="F87" s="175"/>
      <c r="G87" s="175"/>
      <c r="H87" s="175"/>
      <c r="I87" s="175"/>
      <c r="J87" s="175"/>
      <c r="K87" s="175"/>
      <c r="L87" s="175"/>
      <c r="M87" s="175"/>
      <c r="N87" s="175"/>
      <c r="O87" s="175"/>
      <c r="P87" s="175"/>
      <c r="Q87" s="175"/>
      <c r="R87" s="175"/>
      <c r="S87" s="175"/>
      <c r="T87" s="175"/>
      <c r="U87" s="175"/>
      <c r="V87" s="175"/>
      <c r="W87" s="175"/>
      <c r="X87" s="175"/>
      <c r="Y87" s="175"/>
    </row>
    <row r="88" spans="2:25">
      <c r="B88" s="179" t="s">
        <v>243</v>
      </c>
      <c r="C88" s="175"/>
      <c r="D88" s="175"/>
      <c r="E88" s="175"/>
      <c r="F88" s="175"/>
      <c r="G88" s="175"/>
      <c r="H88" s="175"/>
      <c r="I88" s="175"/>
      <c r="J88" s="175"/>
      <c r="K88" s="175"/>
      <c r="L88" s="175"/>
      <c r="M88" s="175"/>
      <c r="N88" s="175"/>
      <c r="O88" s="175"/>
      <c r="P88" s="175"/>
      <c r="Q88" s="175"/>
      <c r="R88" s="175"/>
      <c r="S88" s="175"/>
      <c r="T88" s="175"/>
      <c r="U88" s="175"/>
      <c r="V88" s="175"/>
      <c r="W88" s="175"/>
      <c r="X88" s="175"/>
      <c r="Y88" s="175"/>
    </row>
    <row r="89" spans="2:25">
      <c r="B89" s="184" t="s">
        <v>277</v>
      </c>
      <c r="C89" s="175"/>
      <c r="D89" s="175"/>
      <c r="E89" s="175"/>
      <c r="F89" s="175"/>
      <c r="G89" s="175"/>
      <c r="H89" s="175"/>
      <c r="I89" s="175"/>
      <c r="J89" s="175"/>
      <c r="K89" s="175"/>
      <c r="L89" s="175"/>
      <c r="M89" s="175"/>
      <c r="N89" s="175"/>
      <c r="O89" s="175"/>
      <c r="P89" s="175"/>
      <c r="Q89" s="175"/>
      <c r="R89" s="175"/>
      <c r="S89" s="175"/>
      <c r="T89" s="175"/>
      <c r="U89" s="175"/>
      <c r="V89" s="175"/>
      <c r="W89" s="175"/>
      <c r="X89" s="175"/>
      <c r="Y89" s="175"/>
    </row>
    <row r="90" spans="2:25">
      <c r="B90" s="184" t="s">
        <v>278</v>
      </c>
      <c r="C90" s="175"/>
      <c r="D90" s="175"/>
      <c r="E90" s="175"/>
      <c r="F90" s="175"/>
      <c r="G90" s="175"/>
      <c r="H90" s="175"/>
      <c r="I90" s="175"/>
      <c r="J90" s="175"/>
      <c r="K90" s="175"/>
      <c r="L90" s="175"/>
      <c r="M90" s="175"/>
      <c r="N90" s="175"/>
      <c r="O90" s="175"/>
      <c r="P90" s="175"/>
      <c r="Q90" s="175"/>
      <c r="R90" s="175"/>
      <c r="S90" s="175"/>
      <c r="T90" s="175"/>
      <c r="U90" s="175"/>
      <c r="V90" s="175"/>
      <c r="W90" s="175"/>
      <c r="X90" s="175"/>
      <c r="Y90" s="17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6680ebd-6583-4887-bd34-3a5374e82719">
      <Terms xmlns="http://schemas.microsoft.com/office/infopath/2007/PartnerControls"/>
    </lcf76f155ced4ddcb4097134ff3c332f>
    <TaxCatchAll xmlns="a4ab0a8a-df34-475a-ae76-62bcee5314d7"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8DFCFC3C8E7AA42829101F1B9FDE726" ma:contentTypeVersion="20" ma:contentTypeDescription="Create a new document." ma:contentTypeScope="" ma:versionID="11cf8205edd820bd2163a6174c597d04">
  <xsd:schema xmlns:xsd="http://www.w3.org/2001/XMLSchema" xmlns:xs="http://www.w3.org/2001/XMLSchema" xmlns:p="http://schemas.microsoft.com/office/2006/metadata/properties" xmlns:ns1="http://schemas.microsoft.com/sharepoint/v3" xmlns:ns2="a4ab0a8a-df34-475a-ae76-62bcee5314d7" xmlns:ns3="76680ebd-6583-4887-bd34-3a5374e82719" targetNamespace="http://schemas.microsoft.com/office/2006/metadata/properties" ma:root="true" ma:fieldsID="34f189bc0c4c216d4aab7409ae7ab186" ns1:_="" ns2:_="" ns3:_="">
    <xsd:import namespace="http://schemas.microsoft.com/sharepoint/v3"/>
    <xsd:import namespace="a4ab0a8a-df34-475a-ae76-62bcee5314d7"/>
    <xsd:import namespace="76680ebd-6583-4887-bd34-3a5374e8271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Location" minOccurs="0"/>
                <xsd:element ref="ns3:MediaLengthInSeconds" minOccurs="0"/>
                <xsd:element ref="ns3:MediaServiceObjectDetectorVersion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ab0a8a-df34-475a-ae76-62bcee5314d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e32a8b6-2e7a-420c-b4f6-811db9e1ef50}" ma:internalName="TaxCatchAll" ma:showField="CatchAllData" ma:web="a4ab0a8a-df34-475a-ae76-62bcee531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680ebd-6583-4887-bd34-3a5374e8271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ef184ba-378b-424e-91aa-0167be990bb4"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E1B5EC-8A54-4CC8-9F77-6017F7D3EDC6}">
  <ds:schemaRefs>
    <ds:schemaRef ds:uri="http://schemas.microsoft.com/office/2006/metadata/properties"/>
    <ds:schemaRef ds:uri="http://schemas.microsoft.com/office/infopath/2007/PartnerControls"/>
    <ds:schemaRef ds:uri="http://schemas.microsoft.com/sharepoint/v3"/>
    <ds:schemaRef ds:uri="76680ebd-6583-4887-bd34-3a5374e82719"/>
    <ds:schemaRef ds:uri="a4ab0a8a-df34-475a-ae76-62bcee5314d7"/>
  </ds:schemaRefs>
</ds:datastoreItem>
</file>

<file path=customXml/itemProps2.xml><?xml version="1.0" encoding="utf-8"?>
<ds:datastoreItem xmlns:ds="http://schemas.openxmlformats.org/officeDocument/2006/customXml" ds:itemID="{0275CB56-C194-4D80-B8FC-8F5AFA2B0697}">
  <ds:schemaRefs>
    <ds:schemaRef ds:uri="http://schemas.microsoft.com/sharepoint/v3/contenttype/forms"/>
  </ds:schemaRefs>
</ds:datastoreItem>
</file>

<file path=customXml/itemProps3.xml><?xml version="1.0" encoding="utf-8"?>
<ds:datastoreItem xmlns:ds="http://schemas.openxmlformats.org/officeDocument/2006/customXml" ds:itemID="{1A5E45A6-5ADB-461E-A6D8-49D151095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ab0a8a-df34-475a-ae76-62bcee5314d7"/>
    <ds:schemaRef ds:uri="76680ebd-6583-4887-bd34-3a5374e827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Price</vt:lpstr>
      <vt:lpstr>CC</vt:lpstr>
      <vt:lpstr>Load Out</vt:lpstr>
      <vt:lpstr>Organization Chart</vt:lpstr>
      <vt:lpstr>Major Port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Koji Kawauchi</dc:creator>
  <cp:keywords/>
  <dc:description/>
  <cp:lastModifiedBy>Thiha Aung</cp:lastModifiedBy>
  <cp:revision/>
  <dcterms:created xsi:type="dcterms:W3CDTF">2025-12-20T12:29:37Z</dcterms:created>
  <dcterms:modified xsi:type="dcterms:W3CDTF">2026-01-14T03:49:05Z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0x01010058DFCFC3C8E7AA42829101F1B9FDE726</vt:lpwstr>
  </property>
</Properties>
</file>